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struzioni" sheetId="1" state="visible" r:id="rId3"/>
    <sheet name="Cash Flow" sheetId="2" state="visible" r:id="rId4"/>
    <sheet name="Proiezione 5 anni" sheetId="3" state="visible" r:id="rId5"/>
    <sheet name="KPI Patrimonio" sheetId="4" state="visible" r:id="rId6"/>
    <sheet name="Parametri" sheetId="5" state="visible" r:id="rId7"/>
    <sheet name="Immobili" sheetId="6" state="visible" r:id="rId8"/>
    <sheet name="Occupazione" sheetId="7" state="visible" r:id="rId9"/>
    <sheet name="Mutui" sheetId="8" state="visible" r:id="rId10"/>
    <sheet name="Straordinar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<sst xmlns="http://schemas.openxmlformats.org/spreadsheetml/2006/main" count="380" uniqueCount="260">
  <si>
    <t xml:space="preserve">Cash Flow previsionale 2027 – Immobiliare Uno &amp; Immobiliare Due</t>
  </si>
  <si>
    <t xml:space="preserve">OBIETTIVO</t>
  </si>
  <si>
    <t xml:space="preserve">Previsione dei flussi di cassa mensili delle due società (e consolidata) e proiezione a 5 anni, con dati per singolo immobile: canoni, sfitti, morosità, IMU, imposta di registro, mutui, manutenzioni ordinarie/straordinarie, imprevisti, compravendite.</t>
  </si>
  <si>
    <t xml:space="preserve">COME SI USA</t>
  </si>
  <si>
    <t xml:space="preserve">1. Parametri: scegli la società nel filtro (Tutte / IU / ID), anno, saldi iniziali, % imprevisti e morosità.</t>
  </si>
  <si>
    <t xml:space="preserve">2. Immobili: anagrafica del patrimonio con canone, rendita catastale, valore di mercato, costi ricorrenti. Il foglio calcola IMU, registro, rendimento lordo/netto e incidenza costi per immobile.</t>
  </si>
  <si>
    <t xml:space="preserve">3. Occupazione: 1 = locato / 0 = sfitto per mese. Alimenta canoni e IMU (beni merce: IMU solo sui mesi locati).</t>
  </si>
  <si>
    <t xml:space="preserve">4. Mutui: debito residuo, TAN e rate residue. Calcola rata, interessi, quota capitale e simulazione surroga.</t>
  </si>
  <si>
    <t xml:space="preserve">5. Straordinari: movimenti spot (ritinteggiature, guasti, rateizzazioni arretrati, acquisti/vendite immobili).</t>
  </si>
  <si>
    <t xml:space="preserve">6. Cash Flow: risultato mensile; Proiezione 5 anni: medio-lungo termine; KPI Patrimonio: sintesi per società.</t>
  </si>
  <si>
    <t xml:space="preserve">COLLEGAMENTO CON ODOO</t>
  </si>
  <si>
    <t xml:space="preserve">In Odoo il file si apre da Documenti come foglio di calcolo. Le righe consuntive possono essere sostituite con formule ODOO.BALANCE / ODOO.PIVOT (es. incassi reali dal registro Banca, fatture canoni da Abbonamenti, rate mutui dal modulo Prestiti) per confrontare previsto vs consuntivo.</t>
  </si>
  <si>
    <t xml:space="preserve">NOTE FISCALI</t>
  </si>
  <si>
    <t xml:space="preserve">Locazioni in esenzione IVA art. 10 DPR 633/72. Imposta di registro annuale: 1% strumentali, 2% abitativi (da versare entro 30 gg dalla ricorrenza). IMU: acconto 16/06 e saldo 16/12; per i beni merce (fabbricati dell'impresa costruttrice) esenzione nei mesi non locati. Valori demo da verificare con il commercialista.</t>
  </si>
  <si>
    <t xml:space="preserve">Celle gialle = dati da inserire/modificare. Celle bianche = formule.</t>
  </si>
  <si>
    <t xml:space="preserve">Cash Flow previsionale 2027</t>
  </si>
  <si>
    <t xml:space="preserve">Voce</t>
  </si>
  <si>
    <t xml:space="preserve">Totale anno</t>
  </si>
  <si>
    <t xml:space="preserve">ENTRATE</t>
  </si>
  <si>
    <t xml:space="preserve">Canoni di locazione (esenti IVA art.10)</t>
  </si>
  <si>
    <t xml:space="preserve">Morosità attesa</t>
  </si>
  <si>
    <t xml:space="preserve">Rateizzazioni arretrati incassate</t>
  </si>
  <si>
    <t xml:space="preserve">Vendite immobili</t>
  </si>
  <si>
    <t xml:space="preserve">Totale entrate</t>
  </si>
  <si>
    <t xml:space="preserve">USCITE</t>
  </si>
  <si>
    <t xml:space="preserve">Rate mutui e finanziamenti</t>
  </si>
  <si>
    <t xml:space="preserve">IMU (acconto 16/06 – saldo 16/12)</t>
  </si>
  <si>
    <t xml:space="preserve">Imposta di registro annuale</t>
  </si>
  <si>
    <t xml:space="preserve">Spese condominiali (quota proprietà)</t>
  </si>
  <si>
    <t xml:space="preserve">Manutenzione ordinaria programmata</t>
  </si>
  <si>
    <t xml:space="preserve">Manutenzioni straordinarie / ritinteggiature</t>
  </si>
  <si>
    <t xml:space="preserve">Imprevisti (accantonamento)</t>
  </si>
  <si>
    <t xml:space="preserve">Assicurazioni</t>
  </si>
  <si>
    <t xml:space="preserve">Commercialista e consulenze</t>
  </si>
  <si>
    <t xml:space="preserve">Imposte dirette (IRES/IRAP)</t>
  </si>
  <si>
    <t xml:space="preserve">Spese commerciali (annunci, agenzie)</t>
  </si>
  <si>
    <t xml:space="preserve">Investimenti / acquisti immobili</t>
  </si>
  <si>
    <t xml:space="preserve">Totale uscite</t>
  </si>
  <si>
    <t xml:space="preserve">FLUSSO DI CASSA NETTO</t>
  </si>
  <si>
    <t xml:space="preserve">Saldo cassa iniziale</t>
  </si>
  <si>
    <t xml:space="preserve">SALDO CASSA FINALE</t>
  </si>
  <si>
    <t xml:space="preserve">Proiezione di medio-lungo termine (5 anni)</t>
  </si>
  <si>
    <t xml:space="preserve">Anno 1 = Cash Flow mensile; anni successivi con ISTAT, inflazione costi, rate mutui residue e riserva manutenzioni</t>
  </si>
  <si>
    <t xml:space="preserve">Totale 5 anni</t>
  </si>
  <si>
    <t xml:space="preserve">Canoni netti (dopo morosità)</t>
  </si>
  <si>
    <t xml:space="preserve">Entrate straordinarie (rateizzazioni, vendite)</t>
  </si>
  <si>
    <t xml:space="preserve">Rate mutui</t>
  </si>
  <si>
    <t xml:space="preserve">IMU</t>
  </si>
  <si>
    <t xml:space="preserve">Costi operativi ricorrenti</t>
  </si>
  <si>
    <t xml:space="preserve">Manutenzioni straordinarie</t>
  </si>
  <si>
    <t xml:space="preserve">Investimenti e spese commerciali</t>
  </si>
  <si>
    <t xml:space="preserve">FLUSSO NETTO</t>
  </si>
  <si>
    <t xml:space="preserve">Debito residuo mutui fine anno (stima)</t>
  </si>
  <si>
    <t xml:space="preserve">Nota: il debito residuo dagli anni successivi è stimato (quota capitale ≈ 70% delle rate).</t>
  </si>
  <si>
    <t xml:space="preserve">KPI del patrimonio immobiliare</t>
  </si>
  <si>
    <t xml:space="preserve">Per società e totale (indipendente dal filtro)</t>
  </si>
  <si>
    <t xml:space="preserve">Indicatore</t>
  </si>
  <si>
    <t xml:space="preserve">IU</t>
  </si>
  <si>
    <t xml:space="preserve">ID</t>
  </si>
  <si>
    <t xml:space="preserve">Totale</t>
  </si>
  <si>
    <t xml:space="preserve">Numero immobili</t>
  </si>
  <si>
    <t xml:space="preserve">Valore di mercato patrimonio</t>
  </si>
  <si>
    <t xml:space="preserve">Canone annuo potenziale</t>
  </si>
  <si>
    <t xml:space="preserve">Canone annuo effettivo (dopo sfitti)</t>
  </si>
  <si>
    <t xml:space="preserve">Tasso di occupazione</t>
  </si>
  <si>
    <t xml:space="preserve">Mancato incasso per sfitto</t>
  </si>
  <si>
    <t xml:space="preserve">IMU annua</t>
  </si>
  <si>
    <t xml:space="preserve">Imposta di registro</t>
  </si>
  <si>
    <t xml:space="preserve">Manutenzioni (ord. + straord.)</t>
  </si>
  <si>
    <t xml:space="preserve">Costi totali immobili</t>
  </si>
  <si>
    <t xml:space="preserve">Rendimento lordo potenziale</t>
  </si>
  <si>
    <t xml:space="preserve">Rendimento lordo effettivo</t>
  </si>
  <si>
    <t xml:space="preserve">Rendimento netto (ante imposte dirette e oneri finanziari)</t>
  </si>
  <si>
    <t xml:space="preserve">Incidenza manutenzioni su canoni</t>
  </si>
  <si>
    <t xml:space="preserve">Debito residuo mutui 01/01</t>
  </si>
  <si>
    <t xml:space="preserve">Interessi passivi anno</t>
  </si>
  <si>
    <t xml:space="preserve">LTV (debito / valore)</t>
  </si>
  <si>
    <t xml:space="preserve">Rendimento netto dopo interessi</t>
  </si>
  <si>
    <t xml:space="preserve">Parametri generali</t>
  </si>
  <si>
    <t xml:space="preserve">Filtro società (Tutte / IU / ID)</t>
  </si>
  <si>
    <t xml:space="preserve">Tutte</t>
  </si>
  <si>
    <t xml:space="preserve">Anno di previsione</t>
  </si>
  <si>
    <t xml:space="preserve">Codice</t>
  </si>
  <si>
    <t xml:space="preserve">Ragione sociale</t>
  </si>
  <si>
    <t xml:space="preserve">Saldo cassa 01/01</t>
  </si>
  <si>
    <t xml:space="preserve">IRES+IRAP annua stimata</t>
  </si>
  <si>
    <t xml:space="preserve">Assicurazioni annue</t>
  </si>
  <si>
    <t xml:space="preserve">Commercialista / consulenze mensili</t>
  </si>
  <si>
    <t xml:space="preserve">Incluso</t>
  </si>
  <si>
    <t xml:space="preserve">Categoria</t>
  </si>
  <si>
    <t xml:space="preserve">Moltipl.</t>
  </si>
  <si>
    <t xml:space="preserve">Comune</t>
  </si>
  <si>
    <t xml:space="preserve">Aliquota IMU anno prec. ‰</t>
  </si>
  <si>
    <t xml:space="preserve">Aliquota IMU anno corr. ‰</t>
  </si>
  <si>
    <t xml:space="preserve">Immobiliare Uno S.r.l.</t>
  </si>
  <si>
    <t xml:space="preserve">A/1</t>
  </si>
  <si>
    <t xml:space="preserve">Napoli</t>
  </si>
  <si>
    <t xml:space="preserve">Immobiliare Due S.r.l.</t>
  </si>
  <si>
    <t xml:space="preserve">A/2</t>
  </si>
  <si>
    <t xml:space="preserve">Pozzuoli</t>
  </si>
  <si>
    <t xml:space="preserve">A/3</t>
  </si>
  <si>
    <t xml:space="preserve">Casoria</t>
  </si>
  <si>
    <t xml:space="preserve">A/4</t>
  </si>
  <si>
    <t xml:space="preserve">Caserta</t>
  </si>
  <si>
    <t xml:space="preserve">% imprevisti (accantonamento su canoni)</t>
  </si>
  <si>
    <t xml:space="preserve">A/7</t>
  </si>
  <si>
    <t xml:space="preserve">Salerno</t>
  </si>
  <si>
    <t xml:space="preserve">% morosità attesa sui canoni</t>
  </si>
  <si>
    <t xml:space="preserve">A/8</t>
  </si>
  <si>
    <t xml:space="preserve">Mese pagamento assicurazioni (1-12)</t>
  </si>
  <si>
    <t xml:space="preserve">A/10</t>
  </si>
  <si>
    <t xml:space="preserve">% acconto imposte dirette a giugno</t>
  </si>
  <si>
    <t xml:space="preserve">B/1</t>
  </si>
  <si>
    <t xml:space="preserve">% acconto imposte dirette a novembre</t>
  </si>
  <si>
    <t xml:space="preserve">C/1</t>
  </si>
  <si>
    <t xml:space="preserve">Adeguamento ISTAT canoni annuo (proiezione)</t>
  </si>
  <si>
    <t xml:space="preserve">C/2</t>
  </si>
  <si>
    <t xml:space="preserve">Inflazione costi annua (proiezione)</t>
  </si>
  <si>
    <t xml:space="preserve">C/3</t>
  </si>
  <si>
    <t xml:space="preserve">Riserva manut. straordinaria (% valore patrimonio / anno)</t>
  </si>
  <si>
    <t xml:space="preserve">C/6</t>
  </si>
  <si>
    <t xml:space="preserve">C/7</t>
  </si>
  <si>
    <t xml:space="preserve">D/1</t>
  </si>
  <si>
    <t xml:space="preserve">D/5</t>
  </si>
  <si>
    <t xml:space="preserve">D/7</t>
  </si>
  <si>
    <t xml:space="preserve">D/8</t>
  </si>
  <si>
    <t xml:space="preserve">Anagrafica immobili e redditività</t>
  </si>
  <si>
    <t xml:space="preserve">Dati demo – IMU calcolata su rendita rivalutata 5% × moltiplicatore × aliquota comunale</t>
  </si>
  <si>
    <t xml:space="preserve">Società</t>
  </si>
  <si>
    <t xml:space="preserve">Descrizione</t>
  </si>
  <si>
    <t xml:space="preserve">Tipo</t>
  </si>
  <si>
    <t xml:space="preserve">Cat.</t>
  </si>
  <si>
    <t xml:space="preserve">Rendita catastale</t>
  </si>
  <si>
    <t xml:space="preserve">Valore di mercato</t>
  </si>
  <si>
    <t xml:space="preserve">Canone mensile</t>
  </si>
  <si>
    <t xml:space="preserve">Inquilino</t>
  </si>
  <si>
    <t xml:space="preserve">Mese rinnovo registro</t>
  </si>
  <si>
    <t xml:space="preserve">% registro</t>
  </si>
  <si>
    <t xml:space="preserve">Condominio mensile</t>
  </si>
  <si>
    <t xml:space="preserve">Manut. ordinaria annua</t>
  </si>
  <si>
    <t xml:space="preserve">Bene merce</t>
  </si>
  <si>
    <t xml:space="preserve">Mesi locati</t>
  </si>
  <si>
    <t xml:space="preserve">Mesi locati 1° sem.</t>
  </si>
  <si>
    <t xml:space="preserve">Canone annuo effettivo</t>
  </si>
  <si>
    <t xml:space="preserve">Base imponibile IMU</t>
  </si>
  <si>
    <t xml:space="preserve">IMU acconto (giugno)</t>
  </si>
  <si>
    <t xml:space="preserve">Registro annuo</t>
  </si>
  <si>
    <t xml:space="preserve">Manut. straordinaria anno</t>
  </si>
  <si>
    <t xml:space="preserve">Costi totali anno</t>
  </si>
  <si>
    <t xml:space="preserve">Rend. lordo potenziale</t>
  </si>
  <si>
    <t xml:space="preserve">Rend. lordo effettivo</t>
  </si>
  <si>
    <t xml:space="preserve">Rend. netto</t>
  </si>
  <si>
    <t xml:space="preserve">Incidenza costi su canoni</t>
  </si>
  <si>
    <t xml:space="preserve">IU-01</t>
  </si>
  <si>
    <t xml:space="preserve">Ufficio Centro Direzionale Is. E3</t>
  </si>
  <si>
    <t xml:space="preserve">Commerciale</t>
  </si>
  <si>
    <t xml:space="preserve">Studio Legale Ferraro</t>
  </si>
  <si>
    <t xml:space="preserve">Sì</t>
  </si>
  <si>
    <t xml:space="preserve">IU-02</t>
  </si>
  <si>
    <t xml:space="preserve">Negozio Via Toledo</t>
  </si>
  <si>
    <t xml:space="preserve">Bar Toledo S.n.c.</t>
  </si>
  <si>
    <t xml:space="preserve">IU-03</t>
  </si>
  <si>
    <t xml:space="preserve">Appartamento Vomero</t>
  </si>
  <si>
    <t xml:space="preserve">Abitativo</t>
  </si>
  <si>
    <t xml:space="preserve">Marco De Luca</t>
  </si>
  <si>
    <t xml:space="preserve">IU-04</t>
  </si>
  <si>
    <t xml:space="preserve">Appartamento Via Napoli</t>
  </si>
  <si>
    <t xml:space="preserve">Anna Esposito</t>
  </si>
  <si>
    <t xml:space="preserve">IU-05</t>
  </si>
  <si>
    <t xml:space="preserve">Box auto Via Napoli</t>
  </si>
  <si>
    <t xml:space="preserve">Pertinenza</t>
  </si>
  <si>
    <t xml:space="preserve">IU-06</t>
  </si>
  <si>
    <t xml:space="preserve">Capannone logistico</t>
  </si>
  <si>
    <t xml:space="preserve">Logistica Campana S.p.A.</t>
  </si>
  <si>
    <t xml:space="preserve">No</t>
  </si>
  <si>
    <t xml:space="preserve">ID-01</t>
  </si>
  <si>
    <t xml:space="preserve">Appartamento Corso Trieste</t>
  </si>
  <si>
    <t xml:space="preserve">Luca Russo</t>
  </si>
  <si>
    <t xml:space="preserve">ID-02</t>
  </si>
  <si>
    <t xml:space="preserve">Ufficio Via Roma</t>
  </si>
  <si>
    <t xml:space="preserve">Assicurazioni Vesuvio S.r.l.</t>
  </si>
  <si>
    <t xml:space="preserve">ID-03</t>
  </si>
  <si>
    <t xml:space="preserve">Negozio Corso Vittorio Emanuele</t>
  </si>
  <si>
    <t xml:space="preserve">Ottica Salernitana S.r.l.</t>
  </si>
  <si>
    <t xml:space="preserve">ID-04</t>
  </si>
  <si>
    <t xml:space="preserve">Appartamento Lungomare</t>
  </si>
  <si>
    <t xml:space="preserve">Giulia Ferri (disdetta 31/03)</t>
  </si>
  <si>
    <t xml:space="preserve">ID-05</t>
  </si>
  <si>
    <t xml:space="preserve">Ufficio Centro Direzionale Is. G1</t>
  </si>
  <si>
    <t xml:space="preserve">Tech Partners S.r.l.</t>
  </si>
  <si>
    <t xml:space="preserve">ID-06</t>
  </si>
  <si>
    <t xml:space="preserve">Posto auto Via Pergolesi</t>
  </si>
  <si>
    <t xml:space="preserve">(sfitto)</t>
  </si>
  <si>
    <t xml:space="preserve">TOTALE (filtro)</t>
  </si>
  <si>
    <t xml:space="preserve">Piano di occupazione 2027</t>
  </si>
  <si>
    <t xml:space="preserve">1 = locato, 0 = sfitto</t>
  </si>
  <si>
    <t xml:space="preserve">Gen</t>
  </si>
  <si>
    <t xml:space="preserve">Feb</t>
  </si>
  <si>
    <t xml:space="preserve">Mar</t>
  </si>
  <si>
    <t xml:space="preserve">Apr</t>
  </si>
  <si>
    <t xml:space="preserve">Mag</t>
  </si>
  <si>
    <t xml:space="preserve">Giu</t>
  </si>
  <si>
    <t xml:space="preserve">Lug</t>
  </si>
  <si>
    <t xml:space="preserve">Ago</t>
  </si>
  <si>
    <t xml:space="preserve">Set</t>
  </si>
  <si>
    <t xml:space="preserve">Ott</t>
  </si>
  <si>
    <t xml:space="preserve">Nov</t>
  </si>
  <si>
    <t xml:space="preserve">Dic</t>
  </si>
  <si>
    <t xml:space="preserve">Mutui e finanziamenti</t>
  </si>
  <si>
    <t xml:space="preserve">Rata francese; simulazione surroga/rinegoziazione sul debito residuo</t>
  </si>
  <si>
    <t xml:space="preserve">Banca</t>
  </si>
  <si>
    <t xml:space="preserve">Immobili a garanzia</t>
  </si>
  <si>
    <t xml:space="preserve">Debito residuo 01/01</t>
  </si>
  <si>
    <t xml:space="preserve">TAN attuale</t>
  </si>
  <si>
    <t xml:space="preserve">Rate residue</t>
  </si>
  <si>
    <t xml:space="preserve">Rata mensile</t>
  </si>
  <si>
    <t xml:space="preserve">Debito residuo 31/12</t>
  </si>
  <si>
    <t xml:space="preserve">Quota capitale anno</t>
  </si>
  <si>
    <t xml:space="preserve">Interessi anno</t>
  </si>
  <si>
    <t xml:space="preserve">TAN ipotesi surroga</t>
  </si>
  <si>
    <t xml:space="preserve">Rata con surroga</t>
  </si>
  <si>
    <t xml:space="preserve">Risparmio annuo surroga</t>
  </si>
  <si>
    <t xml:space="preserve">Rate anno 1</t>
  </si>
  <si>
    <t xml:space="preserve">Rate anno 2</t>
  </si>
  <si>
    <t xml:space="preserve">Rate anno 3</t>
  </si>
  <si>
    <t xml:space="preserve">Rate anno 4</t>
  </si>
  <si>
    <t xml:space="preserve">Rate anno 5</t>
  </si>
  <si>
    <t xml:space="preserve">Mutuo ipotecario Napoli</t>
  </si>
  <si>
    <t xml:space="preserve">Intesa Sanpaolo</t>
  </si>
  <si>
    <t xml:space="preserve">IU-01, IU-02</t>
  </si>
  <si>
    <t xml:space="preserve">Mutuo capannone</t>
  </si>
  <si>
    <t xml:space="preserve">BPER Banca</t>
  </si>
  <si>
    <t xml:space="preserve">Mutuo ipotecario Caserta/Salerno</t>
  </si>
  <si>
    <t xml:space="preserve">UniCredit</t>
  </si>
  <si>
    <t xml:space="preserve">ID-01, ID-02, ID-03</t>
  </si>
  <si>
    <t xml:space="preserve">Finanziamento chirografario</t>
  </si>
  <si>
    <t xml:space="preserve">BCC Campania</t>
  </si>
  <si>
    <t xml:space="preserve">-</t>
  </si>
  <si>
    <t xml:space="preserve">Movimenti straordinari previsti</t>
  </si>
  <si>
    <t xml:space="preserve">Importi + entrata / − uscita. Categorie: Manutenzione straordinaria, Rateizzazione arretrati, Compravendita, Commerciale, Altro</t>
  </si>
  <si>
    <t xml:space="preserve">Data</t>
  </si>
  <si>
    <t xml:space="preserve">Immobile</t>
  </si>
  <si>
    <t xml:space="preserve">Importo</t>
  </si>
  <si>
    <t xml:space="preserve">Manutenzione straordinaria</t>
  </si>
  <si>
    <t xml:space="preserve">Ritinteggiatura fine contratto</t>
  </si>
  <si>
    <t xml:space="preserve">Revisione completa impianti</t>
  </si>
  <si>
    <t xml:space="preserve">Annunci Immobiliare.it / Idealista</t>
  </si>
  <si>
    <t xml:space="preserve">Sostituzione climatizzatore</t>
  </si>
  <si>
    <t xml:space="preserve">Rifacimento guaina copertura</t>
  </si>
  <si>
    <t xml:space="preserve">Infiltrazione infisso</t>
  </si>
  <si>
    <t xml:space="preserve">Rateizzazione arretrati</t>
  </si>
  <si>
    <t xml:space="preserve">Ottica Salernitana - rata 1/6</t>
  </si>
  <si>
    <t xml:space="preserve">Ottica Salernitana - rata 2/6</t>
  </si>
  <si>
    <t xml:space="preserve">Ottica Salernitana - rata 3/6</t>
  </si>
  <si>
    <t xml:space="preserve">Ottica Salernitana - rata 4/6</t>
  </si>
  <si>
    <t xml:space="preserve">Ottica Salernitana - rata 5/6</t>
  </si>
  <si>
    <t xml:space="preserve">Ottica Salernitana - rata 6/6</t>
  </si>
  <si>
    <t xml:space="preserve">Compravendita</t>
  </si>
  <si>
    <t xml:space="preserve">Caparra acquisto nuovo immobile Caserta</t>
  </si>
  <si>
    <t xml:space="preserve">Vendita posto auto Via Pergolesi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</si>
</sst>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 yy"/>
    <numFmt numFmtId="166" formatCode="#,##0[$€]"/>
    <numFmt numFmtId="167" formatCode="#,##0"/>
    <numFmt numFmtId="168" formatCode="0"/>
    <numFmt numFmtId="169" formatCode="0.0%"/>
    <numFmt numFmtId="170" formatCode="0.00%"/>
    <numFmt numFmtId="171" formatCode="0.00"/>
    <numFmt numFmtId="172" formatCode="#,##0.00[$€]"/>
    <numFmt numFmtId="173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14B67"/>
      <name val="Cambria"/>
      <family val="0"/>
      <charset val="1"/>
    </font>
    <font>
      <b val="true"/>
      <sz val="11"/>
      <color rgb="FF714B67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714B67"/>
        <bgColor rgb="FF666666"/>
      </patternFill>
    </fill>
    <fill>
      <patternFill patternType="solid">
        <fgColor rgb="FFEDE7EC"/>
        <bgColor rgb="FFD9D9D9"/>
      </patternFill>
    </fill>
    <fill>
      <patternFill patternType="solid">
        <fgColor rgb="FFD9D2D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C00000"/>
      </font>
      <fill>
        <patternFill>
          <bgColor rgb="FFF4CCCC"/>
        </patternFill>
      </fill>
    </dxf>
    <dxf>
      <font>
        <b val="1"/>
        <color rgb="FFC00000"/>
      </font>
    </dxf>
    <dxf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714B67"/>
      <rgbColor rgb="FFFFF8DC"/>
      <rgbColor rgb="FFEDE7EC"/>
      <rgbColor rgb="FF660066"/>
      <rgbColor rgb="FFFF8080"/>
      <rgbColor rgb="FF0066CC"/>
      <rgbColor rgb="FFD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4CCCC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di cassa mensile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'Cash Flow'!A29</c:f>
              <c:strCache>
                <c:ptCount val="1"/>
                <c:pt idx="0">
                  <c:v>SALDO CASSA FINALE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Flow'!$B$4:$M$4</c:f>
              <c:strCache>
                <c:ptCount val="12"/>
                <c:pt idx="0">
                  <c:v>Jan 27</c:v>
                </c:pt>
                <c:pt idx="1">
                  <c:v>Feb 27</c:v>
                </c:pt>
                <c:pt idx="2">
                  <c:v>Mar 27</c:v>
                </c:pt>
                <c:pt idx="3">
                  <c:v>Apr 27</c:v>
                </c:pt>
                <c:pt idx="4">
                  <c:v>May 27</c:v>
                </c:pt>
                <c:pt idx="5">
                  <c:v>Jun 27</c:v>
                </c:pt>
                <c:pt idx="6">
                  <c:v>Jul 27</c:v>
                </c:pt>
                <c:pt idx="7">
                  <c:v>Aug 27</c:v>
                </c:pt>
                <c:pt idx="8">
                  <c:v>Sep 27</c:v>
                </c:pt>
                <c:pt idx="9">
                  <c:v>Oct 27</c:v>
                </c:pt>
                <c:pt idx="10">
                  <c:v>Nov 27</c:v>
                </c:pt>
                <c:pt idx="11">
                  <c:v>Dec 27</c:v>
                </c:pt>
              </c:strCache>
            </c:strRef>
          </c:cat>
          <c:val>
            <c:numRef>
              <c:f>'Cash Flow'!$B$29:$M$29</c:f>
              <c:numCache>
                <c:formatCode>#,##0[$€]</c:formatCode>
                <c:ptCount val="12"/>
                <c:pt idx="0">
                  <c:v>143082.253979063</c:v>
                </c:pt>
                <c:pt idx="1">
                  <c:v>155112.507958126</c:v>
                </c:pt>
                <c:pt idx="2">
                  <c:v>154678.76193719</c:v>
                </c:pt>
                <c:pt idx="3">
                  <c:v>162972.015916253</c:v>
                </c:pt>
                <c:pt idx="4">
                  <c:v>172021.269895316</c:v>
                </c:pt>
                <c:pt idx="5">
                  <c:v>158557.653874379</c:v>
                </c:pt>
                <c:pt idx="6">
                  <c:v>165390.907853443</c:v>
                </c:pt>
                <c:pt idx="7">
                  <c:v>174088.161832506</c:v>
                </c:pt>
                <c:pt idx="8">
                  <c:v>143374.415811569</c:v>
                </c:pt>
                <c:pt idx="9">
                  <c:v>151668.669790632</c:v>
                </c:pt>
                <c:pt idx="10">
                  <c:v>164166.123769695</c:v>
                </c:pt>
                <c:pt idx="11">
                  <c:v>161557.627748759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223069"/>
        <c:axId val="74702499"/>
      </c:lineChart>
      <c:catAx>
        <c:axId val="82223069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02499"/>
        <c:crosses val="autoZero"/>
        <c:auto val="1"/>
        <c:lblAlgn val="ctr"/>
        <c:lblOffset val="100"/>
        <c:noMultiLvlLbl val="0"/>
      </c:catAx>
      <c:valAx>
        <c:axId val="74702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23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Entrate vs uscite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'Cash Flow'!A10</c:f>
              <c:strCache>
                <c:ptCount val="1"/>
                <c:pt idx="0">
                  <c:v>Totale entrate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Flow'!$B$4:$M$4</c:f>
              <c:strCache>
                <c:ptCount val="12"/>
                <c:pt idx="0">
                  <c:v>Jan 27</c:v>
                </c:pt>
                <c:pt idx="1">
                  <c:v>Feb 27</c:v>
                </c:pt>
                <c:pt idx="2">
                  <c:v>Mar 27</c:v>
                </c:pt>
                <c:pt idx="3">
                  <c:v>Apr 27</c:v>
                </c:pt>
                <c:pt idx="4">
                  <c:v>May 27</c:v>
                </c:pt>
                <c:pt idx="5">
                  <c:v>Jun 27</c:v>
                </c:pt>
                <c:pt idx="6">
                  <c:v>Jul 27</c:v>
                </c:pt>
                <c:pt idx="7">
                  <c:v>Aug 27</c:v>
                </c:pt>
                <c:pt idx="8">
                  <c:v>Sep 27</c:v>
                </c:pt>
                <c:pt idx="9">
                  <c:v>Oct 27</c:v>
                </c:pt>
                <c:pt idx="10">
                  <c:v>Nov 27</c:v>
                </c:pt>
                <c:pt idx="11">
                  <c:v>Dec 27</c:v>
                </c:pt>
              </c:strCache>
            </c:strRef>
          </c:cat>
          <c:val>
            <c:numRef>
              <c:f>'Cash Flow'!$B$10:$M$10</c:f>
              <c:numCache>
                <c:formatCode>#,##0[$€]</c:formatCode>
                <c:ptCount val="12"/>
                <c:pt idx="0">
                  <c:v>22902.6</c:v>
                </c:pt>
                <c:pt idx="1">
                  <c:v>25502.6</c:v>
                </c:pt>
                <c:pt idx="2">
                  <c:v>25502.6</c:v>
                </c:pt>
                <c:pt idx="3">
                  <c:v>24424.6</c:v>
                </c:pt>
                <c:pt idx="4">
                  <c:v>24424.6</c:v>
                </c:pt>
                <c:pt idx="5">
                  <c:v>24424.6</c:v>
                </c:pt>
                <c:pt idx="6">
                  <c:v>24424.6</c:v>
                </c:pt>
                <c:pt idx="7">
                  <c:v>21824.6</c:v>
                </c:pt>
                <c:pt idx="8">
                  <c:v>22902.6</c:v>
                </c:pt>
                <c:pt idx="9">
                  <c:v>22902.6</c:v>
                </c:pt>
                <c:pt idx="10">
                  <c:v>43902.6</c:v>
                </c:pt>
                <c:pt idx="11">
                  <c:v>22902.6</c:v>
                </c:pt>
              </c:numCache>
            </c:numRef>
          </c:val>
        </c:ser>
        <c:ser>
          <c:idx val="1"/>
          <c:order val="1"/>
          <c:tx>
            <c:strRef>
              <c:f>'Cash Flow'!A25</c:f>
              <c:strCache>
                <c:ptCount val="1"/>
                <c:pt idx="0">
                  <c:v>Totale uscite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Flow'!$B$4:$M$4</c:f>
              <c:strCache>
                <c:ptCount val="12"/>
                <c:pt idx="0">
                  <c:v>Jan 27</c:v>
                </c:pt>
                <c:pt idx="1">
                  <c:v>Feb 27</c:v>
                </c:pt>
                <c:pt idx="2">
                  <c:v>Mar 27</c:v>
                </c:pt>
                <c:pt idx="3">
                  <c:v>Apr 27</c:v>
                </c:pt>
                <c:pt idx="4">
                  <c:v>May 27</c:v>
                </c:pt>
                <c:pt idx="5">
                  <c:v>Jun 27</c:v>
                </c:pt>
                <c:pt idx="6">
                  <c:v>Jul 27</c:v>
                </c:pt>
                <c:pt idx="7">
                  <c:v>Aug 27</c:v>
                </c:pt>
                <c:pt idx="8">
                  <c:v>Sep 27</c:v>
                </c:pt>
                <c:pt idx="9">
                  <c:v>Oct 27</c:v>
                </c:pt>
                <c:pt idx="10">
                  <c:v>Nov 27</c:v>
                </c:pt>
                <c:pt idx="11">
                  <c:v>Dec 27</c:v>
                </c:pt>
              </c:strCache>
            </c:strRef>
          </c:cat>
          <c:val>
            <c:numRef>
              <c:f>'Cash Flow'!$B$25:$M$25</c:f>
              <c:numCache>
                <c:formatCode>#,##0[$€]</c:formatCode>
                <c:ptCount val="12"/>
                <c:pt idx="0">
                  <c:v>-24820.3460209368</c:v>
                </c:pt>
                <c:pt idx="1">
                  <c:v>-13472.3460209368</c:v>
                </c:pt>
                <c:pt idx="2">
                  <c:v>-25936.3460209368</c:v>
                </c:pt>
                <c:pt idx="3">
                  <c:v>-16131.3460209368</c:v>
                </c:pt>
                <c:pt idx="4">
                  <c:v>-15375.3460209368</c:v>
                </c:pt>
                <c:pt idx="5">
                  <c:v>-37888.2160209368</c:v>
                </c:pt>
                <c:pt idx="6">
                  <c:v>-17591.3460209368</c:v>
                </c:pt>
                <c:pt idx="7">
                  <c:v>-13127.3460209368</c:v>
                </c:pt>
                <c:pt idx="8">
                  <c:v>-53616.3460209368</c:v>
                </c:pt>
                <c:pt idx="9">
                  <c:v>-14608.3460209368</c:v>
                </c:pt>
                <c:pt idx="10">
                  <c:v>-31405.1460209368</c:v>
                </c:pt>
                <c:pt idx="11">
                  <c:v>-25511.0960209368</c:v>
                </c:pt>
              </c:numCache>
            </c:numRef>
          </c:val>
        </c:ser>
        <c:gapWidth val="150"/>
        <c:overlap val="0"/>
        <c:axId val="22624555"/>
        <c:axId val="5630241"/>
      </c:barChart>
      <c:catAx>
        <c:axId val="22624555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0241"/>
        <c:crosses val="autoZero"/>
        <c:auto val="1"/>
        <c:lblAlgn val="ctr"/>
        <c:lblOffset val="100"/>
        <c:noMultiLvlLbl val="0"/>
      </c:catAx>
      <c:valAx>
        <c:axId val="5630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[$€]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24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di cassa a 5 anni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'Proiezione 5 anni'!A14</c:f>
              <c:strCache>
                <c:ptCount val="1"/>
                <c:pt idx="0">
                  <c:v>SALDO CASSA FINALE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'Proiezione 5 anni'!$B$4:$F$4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'Proiezione 5 anni'!$B$14:$F$14</c:f>
              <c:numCache>
                <c:formatCode>#,##0[$€]</c:formatCode>
                <c:ptCount val="5"/>
                <c:pt idx="0">
                  <c:v>161557.627748759</c:v>
                </c:pt>
                <c:pt idx="1">
                  <c:v>185739.059497517</c:v>
                </c:pt>
                <c:pt idx="2">
                  <c:v>225873.753479188</c:v>
                </c:pt>
                <c:pt idx="3">
                  <c:v>282026.251295371</c:v>
                </c:pt>
                <c:pt idx="4">
                  <c:v>341536.203226787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240934"/>
        <c:axId val="88454820"/>
      </c:lineChart>
      <c:catAx>
        <c:axId val="1124093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54820"/>
        <c:crosses val="autoZero"/>
        <c:auto val="1"/>
        <c:lblAlgn val="ctr"/>
        <c:lblOffset val="100"/>
        <c:noMultiLvlLbl val="0"/>
      </c:catAx>
      <c:valAx>
        <c:axId val="88454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[$€]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409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130680</xdr:rowOff>
    </xdr:from>
    <xdr:to>
      <xdr:col>10</xdr:col>
      <xdr:colOff>307440</xdr:colOff>
      <xdr:row>45</xdr:row>
      <xdr:rowOff>153000</xdr:rowOff>
    </xdr:to>
    <xdr:graphicFrame>
      <xdr:nvGraphicFramePr>
        <xdr:cNvPr id="0" name="Chart 1"/>
        <xdr:cNvGraphicFramePr/>
      </xdr:nvGraphicFramePr>
      <xdr:xfrm>
        <a:off x="3101400" y="61149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47</xdr:row>
      <xdr:rowOff>130680</xdr:rowOff>
    </xdr:from>
    <xdr:to>
      <xdr:col>10</xdr:col>
      <xdr:colOff>307440</xdr:colOff>
      <xdr:row>62</xdr:row>
      <xdr:rowOff>153000</xdr:rowOff>
    </xdr:to>
    <xdr:graphicFrame>
      <xdr:nvGraphicFramePr>
        <xdr:cNvPr id="1" name="Chart 2"/>
        <xdr:cNvGraphicFramePr/>
      </xdr:nvGraphicFramePr>
      <xdr:xfrm>
        <a:off x="3101400" y="93535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130680</xdr:rowOff>
    </xdr:from>
    <xdr:to>
      <xdr:col>4</xdr:col>
      <xdr:colOff>417960</xdr:colOff>
      <xdr:row>32</xdr:row>
      <xdr:rowOff>153000</xdr:rowOff>
    </xdr:to>
    <xdr:graphicFrame>
      <xdr:nvGraphicFramePr>
        <xdr:cNvPr id="2" name="Chart 1"/>
        <xdr:cNvGraphicFramePr/>
      </xdr:nvGraphicFramePr>
      <xdr:xfrm>
        <a:off x="0" y="36385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8.3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28.3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41.7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2" t="s">
        <v>12</v>
      </c>
    </row>
    <row r="18" customFormat="false" ht="41.75" hidden="false" customHeight="false" outlineLevel="0" collapsed="false">
      <c r="A18" s="3" t="s">
        <v>13</v>
      </c>
    </row>
    <row r="20" customFormat="false" ht="15" hidden="false" customHeight="false" outlineLevel="0" collapsed="false">
      <c r="A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2"/>
    <col collapsed="false" customWidth="true" hidden="false" outlineLevel="0" max="14" min="14" style="0" width="14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5" t="str">
        <f aca="false">"Società: "&amp;Parametri!B3&amp;"   (cambia il filtro nel foglio Parametri)"</f>
        <v>Società: Tutte   (cambia il filtro nel foglio Parametri)</v>
      </c>
    </row>
    <row r="4" customFormat="false" ht="31.5" hidden="false" customHeight="true" outlineLevel="0" collapsed="false">
      <c r="A4" s="6" t="s">
        <v>16</v>
      </c>
      <c r="B4" s="7" t="n">
        <f aca="false">DATE(Parametri!$B$4,1,1)</f>
        <v>46388</v>
      </c>
      <c r="C4" s="7" t="n">
        <f aca="false">DATE(Parametri!$B$4,2,1)</f>
        <v>46419</v>
      </c>
      <c r="D4" s="7" t="n">
        <f aca="false">DATE(Parametri!$B$4,3,1)</f>
        <v>46447</v>
      </c>
      <c r="E4" s="7" t="n">
        <f aca="false">DATE(Parametri!$B$4,4,1)</f>
        <v>46478</v>
      </c>
      <c r="F4" s="7" t="n">
        <f aca="false">DATE(Parametri!$B$4,5,1)</f>
        <v>46508</v>
      </c>
      <c r="G4" s="7" t="n">
        <f aca="false">DATE(Parametri!$B$4,6,1)</f>
        <v>46539</v>
      </c>
      <c r="H4" s="7" t="n">
        <f aca="false">DATE(Parametri!$B$4,7,1)</f>
        <v>46569</v>
      </c>
      <c r="I4" s="7" t="n">
        <f aca="false">DATE(Parametri!$B$4,8,1)</f>
        <v>46600</v>
      </c>
      <c r="J4" s="7" t="n">
        <f aca="false">DATE(Parametri!$B$4,9,1)</f>
        <v>46631</v>
      </c>
      <c r="K4" s="7" t="n">
        <f aca="false">DATE(Parametri!$B$4,10,1)</f>
        <v>46661</v>
      </c>
      <c r="L4" s="7" t="n">
        <f aca="false">DATE(Parametri!$B$4,11,1)</f>
        <v>46692</v>
      </c>
      <c r="M4" s="7" t="n">
        <f aca="false">DATE(Parametri!$B$4,12,1)</f>
        <v>46722</v>
      </c>
      <c r="N4" s="6" t="s">
        <v>17</v>
      </c>
    </row>
    <row r="5" customFormat="false" ht="15" hidden="false" customHeight="false" outlineLevel="0" collapsed="false">
      <c r="A5" s="8" t="s">
        <v>18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false" outlineLevel="0" collapsed="false">
      <c r="A6" s="10" t="s">
        <v>19</v>
      </c>
      <c r="B6" s="11" t="n">
        <f aca="false">SUMPRODUCT(Immobili!$AC$5:$AC$16,Immobili!$I$5:$I$16,Occupazione!C$5:C$16)</f>
        <v>23370</v>
      </c>
      <c r="C6" s="11" t="n">
        <f aca="false">SUMPRODUCT(Immobili!$AC$5:$AC$16,Immobili!$I$5:$I$16,Occupazione!D$5:D$16)</f>
        <v>23370</v>
      </c>
      <c r="D6" s="11" t="n">
        <f aca="false">SUMPRODUCT(Immobili!$AC$5:$AC$16,Immobili!$I$5:$I$16,Occupazione!E$5:E$16)</f>
        <v>23370</v>
      </c>
      <c r="E6" s="11" t="n">
        <f aca="false">SUMPRODUCT(Immobili!$AC$5:$AC$16,Immobili!$I$5:$I$16,Occupazione!F$5:F$16)</f>
        <v>22270</v>
      </c>
      <c r="F6" s="11" t="n">
        <f aca="false">SUMPRODUCT(Immobili!$AC$5:$AC$16,Immobili!$I$5:$I$16,Occupazione!G$5:G$16)</f>
        <v>22270</v>
      </c>
      <c r="G6" s="11" t="n">
        <f aca="false">SUMPRODUCT(Immobili!$AC$5:$AC$16,Immobili!$I$5:$I$16,Occupazione!H$5:H$16)</f>
        <v>22270</v>
      </c>
      <c r="H6" s="11" t="n">
        <f aca="false">SUMPRODUCT(Immobili!$AC$5:$AC$16,Immobili!$I$5:$I$16,Occupazione!I$5:I$16)</f>
        <v>22270</v>
      </c>
      <c r="I6" s="11" t="n">
        <f aca="false">SUMPRODUCT(Immobili!$AC$5:$AC$16,Immobili!$I$5:$I$16,Occupazione!J$5:J$16)</f>
        <v>22270</v>
      </c>
      <c r="J6" s="11" t="n">
        <f aca="false">SUMPRODUCT(Immobili!$AC$5:$AC$16,Immobili!$I$5:$I$16,Occupazione!K$5:K$16)</f>
        <v>23370</v>
      </c>
      <c r="K6" s="11" t="n">
        <f aca="false">SUMPRODUCT(Immobili!$AC$5:$AC$16,Immobili!$I$5:$I$16,Occupazione!L$5:L$16)</f>
        <v>23370</v>
      </c>
      <c r="L6" s="11" t="n">
        <f aca="false">SUMPRODUCT(Immobili!$AC$5:$AC$16,Immobili!$I$5:$I$16,Occupazione!M$5:M$16)</f>
        <v>23370</v>
      </c>
      <c r="M6" s="11" t="n">
        <f aca="false">SUMPRODUCT(Immobili!$AC$5:$AC$16,Immobili!$I$5:$I$16,Occupazione!N$5:N$16)</f>
        <v>23370</v>
      </c>
      <c r="N6" s="12" t="n">
        <f aca="false">SUM(B6:M6)</f>
        <v>274940</v>
      </c>
    </row>
    <row r="7" customFormat="false" ht="15" hidden="false" customHeight="false" outlineLevel="0" collapsed="false">
      <c r="A7" s="10" t="s">
        <v>20</v>
      </c>
      <c r="B7" s="11" t="n">
        <f aca="false">-B6*Parametri!$B$12</f>
        <v>-467.4</v>
      </c>
      <c r="C7" s="11" t="n">
        <f aca="false">-C6*Parametri!$B$12</f>
        <v>-467.4</v>
      </c>
      <c r="D7" s="11" t="n">
        <f aca="false">-D6*Parametri!$B$12</f>
        <v>-467.4</v>
      </c>
      <c r="E7" s="11" t="n">
        <f aca="false">-E6*Parametri!$B$12</f>
        <v>-445.4</v>
      </c>
      <c r="F7" s="11" t="n">
        <f aca="false">-F6*Parametri!$B$12</f>
        <v>-445.4</v>
      </c>
      <c r="G7" s="11" t="n">
        <f aca="false">-G6*Parametri!$B$12</f>
        <v>-445.4</v>
      </c>
      <c r="H7" s="11" t="n">
        <f aca="false">-H6*Parametri!$B$12</f>
        <v>-445.4</v>
      </c>
      <c r="I7" s="11" t="n">
        <f aca="false">-I6*Parametri!$B$12</f>
        <v>-445.4</v>
      </c>
      <c r="J7" s="11" t="n">
        <f aca="false">-J6*Parametri!$B$12</f>
        <v>-467.4</v>
      </c>
      <c r="K7" s="11" t="n">
        <f aca="false">-K6*Parametri!$B$12</f>
        <v>-467.4</v>
      </c>
      <c r="L7" s="11" t="n">
        <f aca="false">-L6*Parametri!$B$12</f>
        <v>-467.4</v>
      </c>
      <c r="M7" s="11" t="n">
        <f aca="false">-M6*Parametri!$B$12</f>
        <v>-467.4</v>
      </c>
      <c r="N7" s="12" t="n">
        <f aca="false">SUM(B7:M7)</f>
        <v>-5498.8</v>
      </c>
    </row>
    <row r="8" customFormat="false" ht="15" hidden="false" customHeight="false" outlineLevel="0" collapsed="false">
      <c r="A8" s="10" t="s">
        <v>21</v>
      </c>
      <c r="B8" s="11" t="n">
        <f aca="false">SUMIFS(Straordinari!$F$5:$F$64,Straordinari!$G$5:$G$64,1,Straordinari!$D$5:$D$64,"Rateizzazione arretrati",Straordinari!$A$5:$A$64,"&gt;="&amp;B$4,Straordinari!$A$5:$A$64,"&lt;"&amp;EDATE(B$4,1))</f>
        <v>0</v>
      </c>
      <c r="C8" s="11" t="n">
        <f aca="false">SUMIFS(Straordinari!$F$5:$F$64,Straordinari!$G$5:$G$64,1,Straordinari!$D$5:$D$64,"Rateizzazione arretrati",Straordinari!$A$5:$A$64,"&gt;="&amp;C$4,Straordinari!$A$5:$A$64,"&lt;"&amp;EDATE(C$4,1))</f>
        <v>2600</v>
      </c>
      <c r="D8" s="11" t="n">
        <f aca="false">SUMIFS(Straordinari!$F$5:$F$64,Straordinari!$G$5:$G$64,1,Straordinari!$D$5:$D$64,"Rateizzazione arretrati",Straordinari!$A$5:$A$64,"&gt;="&amp;D$4,Straordinari!$A$5:$A$64,"&lt;"&amp;EDATE(D$4,1))</f>
        <v>2600</v>
      </c>
      <c r="E8" s="11" t="n">
        <f aca="false">SUMIFS(Straordinari!$F$5:$F$64,Straordinari!$G$5:$G$64,1,Straordinari!$D$5:$D$64,"Rateizzazione arretrati",Straordinari!$A$5:$A$64,"&gt;="&amp;E$4,Straordinari!$A$5:$A$64,"&lt;"&amp;EDATE(E$4,1))</f>
        <v>2600</v>
      </c>
      <c r="F8" s="11" t="n">
        <f aca="false">SUMIFS(Straordinari!$F$5:$F$64,Straordinari!$G$5:$G$64,1,Straordinari!$D$5:$D$64,"Rateizzazione arretrati",Straordinari!$A$5:$A$64,"&gt;="&amp;F$4,Straordinari!$A$5:$A$64,"&lt;"&amp;EDATE(F$4,1))</f>
        <v>2600</v>
      </c>
      <c r="G8" s="11" t="n">
        <f aca="false">SUMIFS(Straordinari!$F$5:$F$64,Straordinari!$G$5:$G$64,1,Straordinari!$D$5:$D$64,"Rateizzazione arretrati",Straordinari!$A$5:$A$64,"&gt;="&amp;G$4,Straordinari!$A$5:$A$64,"&lt;"&amp;EDATE(G$4,1))</f>
        <v>2600</v>
      </c>
      <c r="H8" s="11" t="n">
        <f aca="false">SUMIFS(Straordinari!$F$5:$F$64,Straordinari!$G$5:$G$64,1,Straordinari!$D$5:$D$64,"Rateizzazione arretrati",Straordinari!$A$5:$A$64,"&gt;="&amp;H$4,Straordinari!$A$5:$A$64,"&lt;"&amp;EDATE(H$4,1))</f>
        <v>2600</v>
      </c>
      <c r="I8" s="11" t="n">
        <f aca="false">SUMIFS(Straordinari!$F$5:$F$64,Straordinari!$G$5:$G$64,1,Straordinari!$D$5:$D$64,"Rateizzazione arretrati",Straordinari!$A$5:$A$64,"&gt;="&amp;I$4,Straordinari!$A$5:$A$64,"&lt;"&amp;EDATE(I$4,1))</f>
        <v>0</v>
      </c>
      <c r="J8" s="11" t="n">
        <f aca="false">SUMIFS(Straordinari!$F$5:$F$64,Straordinari!$G$5:$G$64,1,Straordinari!$D$5:$D$64,"Rateizzazione arretrati",Straordinari!$A$5:$A$64,"&gt;="&amp;J$4,Straordinari!$A$5:$A$64,"&lt;"&amp;EDATE(J$4,1))</f>
        <v>0</v>
      </c>
      <c r="K8" s="11" t="n">
        <f aca="false">SUMIFS(Straordinari!$F$5:$F$64,Straordinari!$G$5:$G$64,1,Straordinari!$D$5:$D$64,"Rateizzazione arretrati",Straordinari!$A$5:$A$64,"&gt;="&amp;K$4,Straordinari!$A$5:$A$64,"&lt;"&amp;EDATE(K$4,1))</f>
        <v>0</v>
      </c>
      <c r="L8" s="11" t="n">
        <f aca="false">SUMIFS(Straordinari!$F$5:$F$64,Straordinari!$G$5:$G$64,1,Straordinari!$D$5:$D$64,"Rateizzazione arretrati",Straordinari!$A$5:$A$64,"&gt;="&amp;L$4,Straordinari!$A$5:$A$64,"&lt;"&amp;EDATE(L$4,1))</f>
        <v>0</v>
      </c>
      <c r="M8" s="11" t="n">
        <f aca="false">SUMIFS(Straordinari!$F$5:$F$64,Straordinari!$G$5:$G$64,1,Straordinari!$D$5:$D$64,"Rateizzazione arretrati",Straordinari!$A$5:$A$64,"&gt;="&amp;M$4,Straordinari!$A$5:$A$64,"&lt;"&amp;EDATE(M$4,1))</f>
        <v>0</v>
      </c>
      <c r="N8" s="12" t="n">
        <f aca="false">SUM(B8:M8)</f>
        <v>15600</v>
      </c>
    </row>
    <row r="9" customFormat="false" ht="15" hidden="false" customHeight="false" outlineLevel="0" collapsed="false">
      <c r="A9" s="10" t="s">
        <v>22</v>
      </c>
      <c r="B9" s="11" t="n">
        <f aca="false">SUMIFS(Straordinari!$F$5:$F$64,Straordinari!$G$5:$G$64,1,Straordinari!$D$5:$D$64,"Compravendita",Straordinari!$A$5:$A$64,"&gt;="&amp;B$4,Straordinari!$A$5:$A$64,"&lt;"&amp;EDATE(B$4,1),Straordinari!$F$5:$F$64,"&gt;0")</f>
        <v>0</v>
      </c>
      <c r="C9" s="11" t="n">
        <f aca="false">SUMIFS(Straordinari!$F$5:$F$64,Straordinari!$G$5:$G$64,1,Straordinari!$D$5:$D$64,"Compravendita",Straordinari!$A$5:$A$64,"&gt;="&amp;C$4,Straordinari!$A$5:$A$64,"&lt;"&amp;EDATE(C$4,1),Straordinari!$F$5:$F$64,"&gt;0")</f>
        <v>0</v>
      </c>
      <c r="D9" s="11" t="n">
        <f aca="false">SUMIFS(Straordinari!$F$5:$F$64,Straordinari!$G$5:$G$64,1,Straordinari!$D$5:$D$64,"Compravendita",Straordinari!$A$5:$A$64,"&gt;="&amp;D$4,Straordinari!$A$5:$A$64,"&lt;"&amp;EDATE(D$4,1),Straordinari!$F$5:$F$64,"&gt;0")</f>
        <v>0</v>
      </c>
      <c r="E9" s="11" t="n">
        <f aca="false">SUMIFS(Straordinari!$F$5:$F$64,Straordinari!$G$5:$G$64,1,Straordinari!$D$5:$D$64,"Compravendita",Straordinari!$A$5:$A$64,"&gt;="&amp;E$4,Straordinari!$A$5:$A$64,"&lt;"&amp;EDATE(E$4,1),Straordinari!$F$5:$F$64,"&gt;0")</f>
        <v>0</v>
      </c>
      <c r="F9" s="11" t="n">
        <f aca="false">SUMIFS(Straordinari!$F$5:$F$64,Straordinari!$G$5:$G$64,1,Straordinari!$D$5:$D$64,"Compravendita",Straordinari!$A$5:$A$64,"&gt;="&amp;F$4,Straordinari!$A$5:$A$64,"&lt;"&amp;EDATE(F$4,1),Straordinari!$F$5:$F$64,"&gt;0")</f>
        <v>0</v>
      </c>
      <c r="G9" s="11" t="n">
        <f aca="false">SUMIFS(Straordinari!$F$5:$F$64,Straordinari!$G$5:$G$64,1,Straordinari!$D$5:$D$64,"Compravendita",Straordinari!$A$5:$A$64,"&gt;="&amp;G$4,Straordinari!$A$5:$A$64,"&lt;"&amp;EDATE(G$4,1),Straordinari!$F$5:$F$64,"&gt;0")</f>
        <v>0</v>
      </c>
      <c r="H9" s="11" t="n">
        <f aca="false">SUMIFS(Straordinari!$F$5:$F$64,Straordinari!$G$5:$G$64,1,Straordinari!$D$5:$D$64,"Compravendita",Straordinari!$A$5:$A$64,"&gt;="&amp;H$4,Straordinari!$A$5:$A$64,"&lt;"&amp;EDATE(H$4,1),Straordinari!$F$5:$F$64,"&gt;0")</f>
        <v>0</v>
      </c>
      <c r="I9" s="11" t="n">
        <f aca="false">SUMIFS(Straordinari!$F$5:$F$64,Straordinari!$G$5:$G$64,1,Straordinari!$D$5:$D$64,"Compravendita",Straordinari!$A$5:$A$64,"&gt;="&amp;I$4,Straordinari!$A$5:$A$64,"&lt;"&amp;EDATE(I$4,1),Straordinari!$F$5:$F$64,"&gt;0")</f>
        <v>0</v>
      </c>
      <c r="J9" s="11" t="n">
        <f aca="false">SUMIFS(Straordinari!$F$5:$F$64,Straordinari!$G$5:$G$64,1,Straordinari!$D$5:$D$64,"Compravendita",Straordinari!$A$5:$A$64,"&gt;="&amp;J$4,Straordinari!$A$5:$A$64,"&lt;"&amp;EDATE(J$4,1),Straordinari!$F$5:$F$64,"&gt;0")</f>
        <v>0</v>
      </c>
      <c r="K9" s="11" t="n">
        <f aca="false">SUMIFS(Straordinari!$F$5:$F$64,Straordinari!$G$5:$G$64,1,Straordinari!$D$5:$D$64,"Compravendita",Straordinari!$A$5:$A$64,"&gt;="&amp;K$4,Straordinari!$A$5:$A$64,"&lt;"&amp;EDATE(K$4,1),Straordinari!$F$5:$F$64,"&gt;0")</f>
        <v>0</v>
      </c>
      <c r="L9" s="11" t="n">
        <f aca="false">SUMIFS(Straordinari!$F$5:$F$64,Straordinari!$G$5:$G$64,1,Straordinari!$D$5:$D$64,"Compravendita",Straordinari!$A$5:$A$64,"&gt;="&amp;L$4,Straordinari!$A$5:$A$64,"&lt;"&amp;EDATE(L$4,1),Straordinari!$F$5:$F$64,"&gt;0")</f>
        <v>21000</v>
      </c>
      <c r="M9" s="11" t="n">
        <f aca="false">SUMIFS(Straordinari!$F$5:$F$64,Straordinari!$G$5:$G$64,1,Straordinari!$D$5:$D$64,"Compravendita",Straordinari!$A$5:$A$64,"&gt;="&amp;M$4,Straordinari!$A$5:$A$64,"&lt;"&amp;EDATE(M$4,1),Straordinari!$F$5:$F$64,"&gt;0")</f>
        <v>0</v>
      </c>
      <c r="N9" s="12" t="n">
        <f aca="false">SUM(B9:M9)</f>
        <v>21000</v>
      </c>
    </row>
    <row r="10" customFormat="false" ht="15" hidden="false" customHeight="false" outlineLevel="0" collapsed="false">
      <c r="A10" s="13" t="s">
        <v>23</v>
      </c>
      <c r="B10" s="12" t="n">
        <f aca="false">SUM(B6:B9)</f>
        <v>22902.6</v>
      </c>
      <c r="C10" s="12" t="n">
        <f aca="false">SUM(C6:C9)</f>
        <v>25502.6</v>
      </c>
      <c r="D10" s="12" t="n">
        <f aca="false">SUM(D6:D9)</f>
        <v>25502.6</v>
      </c>
      <c r="E10" s="12" t="n">
        <f aca="false">SUM(E6:E9)</f>
        <v>24424.6</v>
      </c>
      <c r="F10" s="12" t="n">
        <f aca="false">SUM(F6:F9)</f>
        <v>24424.6</v>
      </c>
      <c r="G10" s="12" t="n">
        <f aca="false">SUM(G6:G9)</f>
        <v>24424.6</v>
      </c>
      <c r="H10" s="12" t="n">
        <f aca="false">SUM(H6:H9)</f>
        <v>24424.6</v>
      </c>
      <c r="I10" s="12" t="n">
        <f aca="false">SUM(I6:I9)</f>
        <v>21824.6</v>
      </c>
      <c r="J10" s="12" t="n">
        <f aca="false">SUM(J6:J9)</f>
        <v>22902.6</v>
      </c>
      <c r="K10" s="12" t="n">
        <f aca="false">SUM(K6:K9)</f>
        <v>22902.6</v>
      </c>
      <c r="L10" s="12" t="n">
        <f aca="false">SUM(L6:L9)</f>
        <v>43902.6</v>
      </c>
      <c r="M10" s="12" t="n">
        <f aca="false">SUM(M6:M9)</f>
        <v>22902.6</v>
      </c>
      <c r="N10" s="12" t="n">
        <f aca="false">SUM(B10:M10)</f>
        <v>306041.2</v>
      </c>
    </row>
    <row r="12" customFormat="false" ht="15" hidden="false" customHeight="false" outlineLevel="0" collapsed="false">
      <c r="A12" s="8" t="s">
        <v>24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5" hidden="false" customHeight="false" outlineLevel="0" collapsed="false">
      <c r="A13" s="10" t="s">
        <v>25</v>
      </c>
      <c r="B13" s="11" t="n">
        <f aca="false">-SUMIFS(Mutui!$H$5:$H$8,Mutui!$O$5:$O$8,1,Mutui!$G$5:$G$8,"&gt;="&amp;1)</f>
        <v>-9387.57935427013</v>
      </c>
      <c r="C13" s="11" t="n">
        <f aca="false">-SUMIFS(Mutui!$H$5:$H$8,Mutui!$O$5:$O$8,1,Mutui!$G$5:$G$8,"&gt;="&amp;2)</f>
        <v>-9387.57935427013</v>
      </c>
      <c r="D13" s="11" t="n">
        <f aca="false">-SUMIFS(Mutui!$H$5:$H$8,Mutui!$O$5:$O$8,1,Mutui!$G$5:$G$8,"&gt;="&amp;3)</f>
        <v>-9387.57935427013</v>
      </c>
      <c r="E13" s="11" t="n">
        <f aca="false">-SUMIFS(Mutui!$H$5:$H$8,Mutui!$O$5:$O$8,1,Mutui!$G$5:$G$8,"&gt;="&amp;4)</f>
        <v>-9387.57935427013</v>
      </c>
      <c r="F13" s="11" t="n">
        <f aca="false">-SUMIFS(Mutui!$H$5:$H$8,Mutui!$O$5:$O$8,1,Mutui!$G$5:$G$8,"&gt;="&amp;5)</f>
        <v>-9387.57935427013</v>
      </c>
      <c r="G13" s="11" t="n">
        <f aca="false">-SUMIFS(Mutui!$H$5:$H$8,Mutui!$O$5:$O$8,1,Mutui!$G$5:$G$8,"&gt;="&amp;6)</f>
        <v>-9387.57935427013</v>
      </c>
      <c r="H13" s="11" t="n">
        <f aca="false">-SUMIFS(Mutui!$H$5:$H$8,Mutui!$O$5:$O$8,1,Mutui!$G$5:$G$8,"&gt;="&amp;7)</f>
        <v>-9387.57935427013</v>
      </c>
      <c r="I13" s="11" t="n">
        <f aca="false">-SUMIFS(Mutui!$H$5:$H$8,Mutui!$O$5:$O$8,1,Mutui!$G$5:$G$8,"&gt;="&amp;8)</f>
        <v>-9387.57935427013</v>
      </c>
      <c r="J13" s="11" t="n">
        <f aca="false">-SUMIFS(Mutui!$H$5:$H$8,Mutui!$O$5:$O$8,1,Mutui!$G$5:$G$8,"&gt;="&amp;9)</f>
        <v>-9387.57935427013</v>
      </c>
      <c r="K13" s="11" t="n">
        <f aca="false">-SUMIFS(Mutui!$H$5:$H$8,Mutui!$O$5:$O$8,1,Mutui!$G$5:$G$8,"&gt;="&amp;10)</f>
        <v>-9387.57935427013</v>
      </c>
      <c r="L13" s="11" t="n">
        <f aca="false">-SUMIFS(Mutui!$H$5:$H$8,Mutui!$O$5:$O$8,1,Mutui!$G$5:$G$8,"&gt;="&amp;11)</f>
        <v>-9387.57935427013</v>
      </c>
      <c r="M13" s="11" t="n">
        <f aca="false">-SUMIFS(Mutui!$H$5:$H$8,Mutui!$O$5:$O$8,1,Mutui!$G$5:$G$8,"&gt;="&amp;12)</f>
        <v>-9387.57935427013</v>
      </c>
      <c r="N13" s="12" t="n">
        <f aca="false">SUM(B13:M13)</f>
        <v>-112650.952251242</v>
      </c>
    </row>
    <row r="14" customFormat="false" ht="15" hidden="false" customHeight="false" outlineLevel="0" collapsed="false">
      <c r="A14" s="10" t="s">
        <v>26</v>
      </c>
      <c r="B14" s="11" t="n">
        <f aca="false">IF(MONTH(B$4)=6,-SUMIFS(Immobili!$T$5:$T$16,Immobili!$AC$5:$AC$16,1),IF(MONTH(B$4)=12,-(SUMIFS(Immobili!$U$5:$U$16,Immobili!$AC$5:$AC$16,1)-SUMIFS(Immobili!$T$5:$T$16,Immobili!$AC$5:$AC$16,1)),0))</f>
        <v>0</v>
      </c>
      <c r="C14" s="11" t="n">
        <f aca="false">IF(MONTH(C$4)=6,-SUMIFS(Immobili!$T$5:$T$16,Immobili!$AC$5:$AC$16,1),IF(MONTH(C$4)=12,-(SUMIFS(Immobili!$U$5:$U$16,Immobili!$AC$5:$AC$16,1)-SUMIFS(Immobili!$T$5:$T$16,Immobili!$AC$5:$AC$16,1)),0))</f>
        <v>0</v>
      </c>
      <c r="D14" s="11" t="n">
        <f aca="false">IF(MONTH(D$4)=6,-SUMIFS(Immobili!$T$5:$T$16,Immobili!$AC$5:$AC$16,1),IF(MONTH(D$4)=12,-(SUMIFS(Immobili!$U$5:$U$16,Immobili!$AC$5:$AC$16,1)-SUMIFS(Immobili!$T$5:$T$16,Immobili!$AC$5:$AC$16,1)),0))</f>
        <v>0</v>
      </c>
      <c r="E14" s="11" t="n">
        <f aca="false">IF(MONTH(E$4)=6,-SUMIFS(Immobili!$T$5:$T$16,Immobili!$AC$5:$AC$16,1),IF(MONTH(E$4)=12,-(SUMIFS(Immobili!$U$5:$U$16,Immobili!$AC$5:$AC$16,1)-SUMIFS(Immobili!$T$5:$T$16,Immobili!$AC$5:$AC$16,1)),0))</f>
        <v>0</v>
      </c>
      <c r="F14" s="11" t="n">
        <f aca="false">IF(MONTH(F$4)=6,-SUMIFS(Immobili!$T$5:$T$16,Immobili!$AC$5:$AC$16,1),IF(MONTH(F$4)=12,-(SUMIFS(Immobili!$U$5:$U$16,Immobili!$AC$5:$AC$16,1)-SUMIFS(Immobili!$T$5:$T$16,Immobili!$AC$5:$AC$16,1)),0))</f>
        <v>0</v>
      </c>
      <c r="G14" s="11" t="n">
        <f aca="false">IF(MONTH(G$4)=6,-SUMIFS(Immobili!$T$5:$T$16,Immobili!$AC$5:$AC$16,1),IF(MONTH(G$4)=12,-(SUMIFS(Immobili!$U$5:$U$16,Immobili!$AC$5:$AC$16,1)-SUMIFS(Immobili!$T$5:$T$16,Immobili!$AC$5:$AC$16,1)),0))</f>
        <v>-12170.87</v>
      </c>
      <c r="H14" s="11" t="n">
        <f aca="false">IF(MONTH(H$4)=6,-SUMIFS(Immobili!$T$5:$T$16,Immobili!$AC$5:$AC$16,1),IF(MONTH(H$4)=12,-(SUMIFS(Immobili!$U$5:$U$16,Immobili!$AC$5:$AC$16,1)-SUMIFS(Immobili!$T$5:$T$16,Immobili!$AC$5:$AC$16,1)),0))</f>
        <v>0</v>
      </c>
      <c r="I14" s="11" t="n">
        <f aca="false">IF(MONTH(I$4)=6,-SUMIFS(Immobili!$T$5:$T$16,Immobili!$AC$5:$AC$16,1),IF(MONTH(I$4)=12,-(SUMIFS(Immobili!$U$5:$U$16,Immobili!$AC$5:$AC$16,1)-SUMIFS(Immobili!$T$5:$T$16,Immobili!$AC$5:$AC$16,1)),0))</f>
        <v>0</v>
      </c>
      <c r="J14" s="11" t="n">
        <f aca="false">IF(MONTH(J$4)=6,-SUMIFS(Immobili!$T$5:$T$16,Immobili!$AC$5:$AC$16,1),IF(MONTH(J$4)=12,-(SUMIFS(Immobili!$U$5:$U$16,Immobili!$AC$5:$AC$16,1)-SUMIFS(Immobili!$T$5:$T$16,Immobili!$AC$5:$AC$16,1)),0))</f>
        <v>0</v>
      </c>
      <c r="K14" s="11" t="n">
        <f aca="false">IF(MONTH(K$4)=6,-SUMIFS(Immobili!$T$5:$T$16,Immobili!$AC$5:$AC$16,1),IF(MONTH(K$4)=12,-(SUMIFS(Immobili!$U$5:$U$16,Immobili!$AC$5:$AC$16,1)-SUMIFS(Immobili!$T$5:$T$16,Immobili!$AC$5:$AC$16,1)),0))</f>
        <v>0</v>
      </c>
      <c r="L14" s="11" t="n">
        <f aca="false">IF(MONTH(L$4)=6,-SUMIFS(Immobili!$T$5:$T$16,Immobili!$AC$5:$AC$16,1),IF(MONTH(L$4)=12,-(SUMIFS(Immobili!$U$5:$U$16,Immobili!$AC$5:$AC$16,1)-SUMIFS(Immobili!$T$5:$T$16,Immobili!$AC$5:$AC$16,1)),0))</f>
        <v>0</v>
      </c>
      <c r="M14" s="11" t="n">
        <f aca="false">IF(MONTH(M$4)=6,-SUMIFS(Immobili!$T$5:$T$16,Immobili!$AC$5:$AC$16,1),IF(MONTH(M$4)=12,-(SUMIFS(Immobili!$U$5:$U$16,Immobili!$AC$5:$AC$16,1)-SUMIFS(Immobili!$T$5:$T$16,Immobili!$AC$5:$AC$16,1)),0))</f>
        <v>-12350.75</v>
      </c>
      <c r="N14" s="12" t="n">
        <f aca="false">SUM(B14:M14)</f>
        <v>-24521.62</v>
      </c>
    </row>
    <row r="15" customFormat="false" ht="15" hidden="false" customHeight="false" outlineLevel="0" collapsed="false">
      <c r="A15" s="10" t="s">
        <v>27</v>
      </c>
      <c r="B15" s="11" t="n">
        <f aca="false">-SUMIFS(Immobili!$V$5:$V$16,Immobili!$AC$5:$AC$16,1,Immobili!$K$5:$K$16,MONTH(B$4))</f>
        <v>-660</v>
      </c>
      <c r="C15" s="11" t="n">
        <f aca="false">-SUMIFS(Immobili!$V$5:$V$16,Immobili!$AC$5:$AC$16,1,Immobili!$K$5:$K$16,MONTH(C$4))</f>
        <v>-312</v>
      </c>
      <c r="D15" s="11" t="n">
        <f aca="false">-SUMIFS(Immobili!$V$5:$V$16,Immobili!$AC$5:$AC$16,1,Immobili!$K$5:$K$16,MONTH(D$4))</f>
        <v>-276</v>
      </c>
      <c r="E15" s="11" t="n">
        <f aca="false">-SUMIFS(Immobili!$V$5:$V$16,Immobili!$AC$5:$AC$16,1,Immobili!$K$5:$K$16,MONTH(E$4))</f>
        <v>-204</v>
      </c>
      <c r="F15" s="11" t="n">
        <f aca="false">-SUMIFS(Immobili!$V$5:$V$16,Immobili!$AC$5:$AC$16,1,Immobili!$K$5:$K$16,MONTH(F$4))</f>
        <v>-348</v>
      </c>
      <c r="G15" s="11" t="n">
        <f aca="false">-SUMIFS(Immobili!$V$5:$V$16,Immobili!$AC$5:$AC$16,1,Immobili!$K$5:$K$16,MONTH(G$4))</f>
        <v>-240</v>
      </c>
      <c r="H15" s="11" t="n">
        <f aca="false">-SUMIFS(Immobili!$V$5:$V$16,Immobili!$AC$5:$AC$16,1,Immobili!$K$5:$K$16,MONTH(H$4))</f>
        <v>-264</v>
      </c>
      <c r="I15" s="11" t="n">
        <f aca="false">-SUMIFS(Immobili!$V$5:$V$16,Immobili!$AC$5:$AC$16,1,Immobili!$K$5:$K$16,MONTH(I$4))</f>
        <v>-0</v>
      </c>
      <c r="J15" s="11" t="n">
        <f aca="false">-SUMIFS(Immobili!$V$5:$V$16,Immobili!$AC$5:$AC$16,1,Immobili!$K$5:$K$16,MONTH(J$4))</f>
        <v>-456</v>
      </c>
      <c r="K15" s="11" t="n">
        <f aca="false">-SUMIFS(Immobili!$V$5:$V$16,Immobili!$AC$5:$AC$16,1,Immobili!$K$5:$K$16,MONTH(K$4))</f>
        <v>-348</v>
      </c>
      <c r="L15" s="11" t="n">
        <f aca="false">-SUMIFS(Immobili!$V$5:$V$16,Immobili!$AC$5:$AC$16,1,Immobili!$K$5:$K$16,MONTH(L$4))</f>
        <v>-244.8</v>
      </c>
      <c r="M15" s="11" t="n">
        <f aca="false">-SUMIFS(Immobili!$V$5:$V$16,Immobili!$AC$5:$AC$16,1,Immobili!$K$5:$K$16,MONTH(M$4))</f>
        <v>-0</v>
      </c>
      <c r="N15" s="12" t="n">
        <f aca="false">SUM(B15:M15)</f>
        <v>-3352.8</v>
      </c>
    </row>
    <row r="16" customFormat="false" ht="15" hidden="false" customHeight="false" outlineLevel="0" collapsed="false">
      <c r="A16" s="10" t="s">
        <v>28</v>
      </c>
      <c r="B16" s="11" t="n">
        <f aca="false">-SUMIFS(Immobili!$M$5:$M$16,Immobili!$AC$5:$AC$16,1)</f>
        <v>-1230</v>
      </c>
      <c r="C16" s="11" t="n">
        <f aca="false">-SUMIFS(Immobili!$M$5:$M$16,Immobili!$AC$5:$AC$16,1)</f>
        <v>-1230</v>
      </c>
      <c r="D16" s="11" t="n">
        <f aca="false">-SUMIFS(Immobili!$M$5:$M$16,Immobili!$AC$5:$AC$16,1)</f>
        <v>-1230</v>
      </c>
      <c r="E16" s="11" t="n">
        <f aca="false">-SUMIFS(Immobili!$M$5:$M$16,Immobili!$AC$5:$AC$16,1)</f>
        <v>-1230</v>
      </c>
      <c r="F16" s="11" t="n">
        <f aca="false">-SUMIFS(Immobili!$M$5:$M$16,Immobili!$AC$5:$AC$16,1)</f>
        <v>-1230</v>
      </c>
      <c r="G16" s="11" t="n">
        <f aca="false">-SUMIFS(Immobili!$M$5:$M$16,Immobili!$AC$5:$AC$16,1)</f>
        <v>-1230</v>
      </c>
      <c r="H16" s="11" t="n">
        <f aca="false">-SUMIFS(Immobili!$M$5:$M$16,Immobili!$AC$5:$AC$16,1)</f>
        <v>-1230</v>
      </c>
      <c r="I16" s="11" t="n">
        <f aca="false">-SUMIFS(Immobili!$M$5:$M$16,Immobili!$AC$5:$AC$16,1)</f>
        <v>-1230</v>
      </c>
      <c r="J16" s="11" t="n">
        <f aca="false">-SUMIFS(Immobili!$M$5:$M$16,Immobili!$AC$5:$AC$16,1)</f>
        <v>-1230</v>
      </c>
      <c r="K16" s="11" t="n">
        <f aca="false">-SUMIFS(Immobili!$M$5:$M$16,Immobili!$AC$5:$AC$16,1)</f>
        <v>-1230</v>
      </c>
      <c r="L16" s="11" t="n">
        <f aca="false">-SUMIFS(Immobili!$M$5:$M$16,Immobili!$AC$5:$AC$16,1)</f>
        <v>-1230</v>
      </c>
      <c r="M16" s="11" t="n">
        <f aca="false">-SUMIFS(Immobili!$M$5:$M$16,Immobili!$AC$5:$AC$16,1)</f>
        <v>-1230</v>
      </c>
      <c r="N16" s="12" t="n">
        <f aca="false">SUM(B16:M16)</f>
        <v>-14760</v>
      </c>
    </row>
    <row r="17" customFormat="false" ht="15" hidden="false" customHeight="false" outlineLevel="0" collapsed="false">
      <c r="A17" s="10" t="s">
        <v>29</v>
      </c>
      <c r="B17" s="11" t="n">
        <f aca="false">-SUMIFS(Immobili!$N$5:$N$16,Immobili!$AC$5:$AC$16,1)/12</f>
        <v>-641.666666666667</v>
      </c>
      <c r="C17" s="11" t="n">
        <f aca="false">-SUMIFS(Immobili!$N$5:$N$16,Immobili!$AC$5:$AC$16,1)/12</f>
        <v>-641.666666666667</v>
      </c>
      <c r="D17" s="11" t="n">
        <f aca="false">-SUMIFS(Immobili!$N$5:$N$16,Immobili!$AC$5:$AC$16,1)/12</f>
        <v>-641.666666666667</v>
      </c>
      <c r="E17" s="11" t="n">
        <f aca="false">-SUMIFS(Immobili!$N$5:$N$16,Immobili!$AC$5:$AC$16,1)/12</f>
        <v>-641.666666666667</v>
      </c>
      <c r="F17" s="11" t="n">
        <f aca="false">-SUMIFS(Immobili!$N$5:$N$16,Immobili!$AC$5:$AC$16,1)/12</f>
        <v>-641.666666666667</v>
      </c>
      <c r="G17" s="11" t="n">
        <f aca="false">-SUMIFS(Immobili!$N$5:$N$16,Immobili!$AC$5:$AC$16,1)/12</f>
        <v>-641.666666666667</v>
      </c>
      <c r="H17" s="11" t="n">
        <f aca="false">-SUMIFS(Immobili!$N$5:$N$16,Immobili!$AC$5:$AC$16,1)/12</f>
        <v>-641.666666666667</v>
      </c>
      <c r="I17" s="11" t="n">
        <f aca="false">-SUMIFS(Immobili!$N$5:$N$16,Immobili!$AC$5:$AC$16,1)/12</f>
        <v>-641.666666666667</v>
      </c>
      <c r="J17" s="11" t="n">
        <f aca="false">-SUMIFS(Immobili!$N$5:$N$16,Immobili!$AC$5:$AC$16,1)/12</f>
        <v>-641.666666666667</v>
      </c>
      <c r="K17" s="11" t="n">
        <f aca="false">-SUMIFS(Immobili!$N$5:$N$16,Immobili!$AC$5:$AC$16,1)/12</f>
        <v>-641.666666666667</v>
      </c>
      <c r="L17" s="11" t="n">
        <f aca="false">-SUMIFS(Immobili!$N$5:$N$16,Immobili!$AC$5:$AC$16,1)/12</f>
        <v>-641.666666666667</v>
      </c>
      <c r="M17" s="11" t="n">
        <f aca="false">-SUMIFS(Immobili!$N$5:$N$16,Immobili!$AC$5:$AC$16,1)/12</f>
        <v>-641.666666666667</v>
      </c>
      <c r="N17" s="12" t="n">
        <f aca="false">SUM(B17:M17)</f>
        <v>-7700</v>
      </c>
    </row>
    <row r="18" customFormat="false" ht="15" hidden="false" customHeight="false" outlineLevel="0" collapsed="false">
      <c r="A18" s="10" t="s">
        <v>30</v>
      </c>
      <c r="B18" s="11" t="n">
        <f aca="false">SUMIFS(Straordinari!$F$5:$F$64,Straordinari!$G$5:$G$64,1,Straordinari!$D$5:$D$64,"Manutenzione straordinaria",Straordinari!$A$5:$A$64,"&gt;="&amp;B$4,Straordinari!$A$5:$A$64,"&lt;"&amp;EDATE(B$4,1))</f>
        <v>0</v>
      </c>
      <c r="C18" s="11" t="n">
        <f aca="false">SUMIFS(Straordinari!$F$5:$F$64,Straordinari!$G$5:$G$64,1,Straordinari!$D$5:$D$64,"Manutenzione straordinaria",Straordinari!$A$5:$A$64,"&gt;="&amp;C$4,Straordinari!$A$5:$A$64,"&lt;"&amp;EDATE(C$4,1))</f>
        <v>0</v>
      </c>
      <c r="D18" s="11" t="n">
        <f aca="false">SUMIFS(Straordinari!$F$5:$F$64,Straordinari!$G$5:$G$64,1,Straordinari!$D$5:$D$64,"Manutenzione straordinaria",Straordinari!$A$5:$A$64,"&gt;="&amp;D$4,Straordinari!$A$5:$A$64,"&lt;"&amp;EDATE(D$4,1))</f>
        <v>-12500</v>
      </c>
      <c r="E18" s="11" t="n">
        <f aca="false">SUMIFS(Straordinari!$F$5:$F$64,Straordinari!$G$5:$G$64,1,Straordinari!$D$5:$D$64,"Manutenzione straordinaria",Straordinari!$A$5:$A$64,"&gt;="&amp;E$4,Straordinari!$A$5:$A$64,"&lt;"&amp;EDATE(E$4,1))</f>
        <v>-2800</v>
      </c>
      <c r="F18" s="11" t="n">
        <f aca="false">SUMIFS(Straordinari!$F$5:$F$64,Straordinari!$G$5:$G$64,1,Straordinari!$D$5:$D$64,"Manutenzione straordinaria",Straordinari!$A$5:$A$64,"&gt;="&amp;F$4,Straordinari!$A$5:$A$64,"&lt;"&amp;EDATE(F$4,1))</f>
        <v>-1900</v>
      </c>
      <c r="G18" s="11" t="n">
        <f aca="false">SUMIFS(Straordinari!$F$5:$F$64,Straordinari!$G$5:$G$64,1,Straordinari!$D$5:$D$64,"Manutenzione straordinaria",Straordinari!$A$5:$A$64,"&gt;="&amp;G$4,Straordinari!$A$5:$A$64,"&lt;"&amp;EDATE(G$4,1))</f>
        <v>0</v>
      </c>
      <c r="H18" s="11" t="n">
        <f aca="false">SUMIFS(Straordinari!$F$5:$F$64,Straordinari!$G$5:$G$64,1,Straordinari!$D$5:$D$64,"Manutenzione straordinaria",Straordinari!$A$5:$A$64,"&gt;="&amp;H$4,Straordinari!$A$5:$A$64,"&lt;"&amp;EDATE(H$4,1))</f>
        <v>-4200</v>
      </c>
      <c r="I18" s="11" t="n">
        <f aca="false">SUMIFS(Straordinari!$F$5:$F$64,Straordinari!$G$5:$G$64,1,Straordinari!$D$5:$D$64,"Manutenzione straordinaria",Straordinari!$A$5:$A$64,"&gt;="&amp;I$4,Straordinari!$A$5:$A$64,"&lt;"&amp;EDATE(I$4,1))</f>
        <v>0</v>
      </c>
      <c r="J18" s="11" t="n">
        <f aca="false">SUMIFS(Straordinari!$F$5:$F$64,Straordinari!$G$5:$G$64,1,Straordinari!$D$5:$D$64,"Manutenzione straordinaria",Straordinari!$A$5:$A$64,"&gt;="&amp;J$4,Straordinari!$A$5:$A$64,"&lt;"&amp;EDATE(J$4,1))</f>
        <v>0</v>
      </c>
      <c r="K18" s="11" t="n">
        <f aca="false">SUMIFS(Straordinari!$F$5:$F$64,Straordinari!$G$5:$G$64,1,Straordinari!$D$5:$D$64,"Manutenzione straordinaria",Straordinari!$A$5:$A$64,"&gt;="&amp;K$4,Straordinari!$A$5:$A$64,"&lt;"&amp;EDATE(K$4,1))</f>
        <v>-1100</v>
      </c>
      <c r="L18" s="11" t="n">
        <f aca="false">SUMIFS(Straordinari!$F$5:$F$64,Straordinari!$G$5:$G$64,1,Straordinari!$D$5:$D$64,"Manutenzione straordinaria",Straordinari!$A$5:$A$64,"&gt;="&amp;L$4,Straordinari!$A$5:$A$64,"&lt;"&amp;EDATE(L$4,1))</f>
        <v>0</v>
      </c>
      <c r="M18" s="11" t="n">
        <f aca="false">SUMIFS(Straordinari!$F$5:$F$64,Straordinari!$G$5:$G$64,1,Straordinari!$D$5:$D$64,"Manutenzione straordinaria",Straordinari!$A$5:$A$64,"&gt;="&amp;M$4,Straordinari!$A$5:$A$64,"&lt;"&amp;EDATE(M$4,1))</f>
        <v>0</v>
      </c>
      <c r="N18" s="12" t="n">
        <f aca="false">SUM(B18:M18)</f>
        <v>-22500</v>
      </c>
    </row>
    <row r="19" customFormat="false" ht="15" hidden="false" customHeight="false" outlineLevel="0" collapsed="false">
      <c r="A19" s="10" t="s">
        <v>31</v>
      </c>
      <c r="B19" s="11" t="n">
        <f aca="false">-B6*Parametri!$B$11</f>
        <v>-701.1</v>
      </c>
      <c r="C19" s="11" t="n">
        <f aca="false">-C6*Parametri!$B$11</f>
        <v>-701.1</v>
      </c>
      <c r="D19" s="11" t="n">
        <f aca="false">-D6*Parametri!$B$11</f>
        <v>-701.1</v>
      </c>
      <c r="E19" s="11" t="n">
        <f aca="false">-E6*Parametri!$B$11</f>
        <v>-668.1</v>
      </c>
      <c r="F19" s="11" t="n">
        <f aca="false">-F6*Parametri!$B$11</f>
        <v>-668.1</v>
      </c>
      <c r="G19" s="11" t="n">
        <f aca="false">-G6*Parametri!$B$11</f>
        <v>-668.1</v>
      </c>
      <c r="H19" s="11" t="n">
        <f aca="false">-H6*Parametri!$B$11</f>
        <v>-668.1</v>
      </c>
      <c r="I19" s="11" t="n">
        <f aca="false">-I6*Parametri!$B$11</f>
        <v>-668.1</v>
      </c>
      <c r="J19" s="11" t="n">
        <f aca="false">-J6*Parametri!$B$11</f>
        <v>-701.1</v>
      </c>
      <c r="K19" s="11" t="n">
        <f aca="false">-K6*Parametri!$B$11</f>
        <v>-701.1</v>
      </c>
      <c r="L19" s="11" t="n">
        <f aca="false">-L6*Parametri!$B$11</f>
        <v>-701.1</v>
      </c>
      <c r="M19" s="11" t="n">
        <f aca="false">-M6*Parametri!$B$11</f>
        <v>-701.1</v>
      </c>
      <c r="N19" s="12" t="n">
        <f aca="false">SUM(B19:M19)</f>
        <v>-8248.2</v>
      </c>
    </row>
    <row r="20" customFormat="false" ht="15" hidden="false" customHeight="false" outlineLevel="0" collapsed="false">
      <c r="A20" s="10" t="s">
        <v>32</v>
      </c>
      <c r="B20" s="11" t="n">
        <f aca="false">IF(MONTH(B$4)=Parametri!$B$13,-SUMIFS(Parametri!$E$7:$E$8,Parametri!$G$7:$G$8,1),0)</f>
        <v>-11000</v>
      </c>
      <c r="C20" s="11" t="n">
        <f aca="false">IF(MONTH(C$4)=Parametri!$B$13,-SUMIFS(Parametri!$E$7:$E$8,Parametri!$G$7:$G$8,1),0)</f>
        <v>0</v>
      </c>
      <c r="D20" s="11" t="n">
        <f aca="false">IF(MONTH(D$4)=Parametri!$B$13,-SUMIFS(Parametri!$E$7:$E$8,Parametri!$G$7:$G$8,1),0)</f>
        <v>0</v>
      </c>
      <c r="E20" s="11" t="n">
        <f aca="false">IF(MONTH(E$4)=Parametri!$B$13,-SUMIFS(Parametri!$E$7:$E$8,Parametri!$G$7:$G$8,1),0)</f>
        <v>0</v>
      </c>
      <c r="F20" s="11" t="n">
        <f aca="false">IF(MONTH(F$4)=Parametri!$B$13,-SUMIFS(Parametri!$E$7:$E$8,Parametri!$G$7:$G$8,1),0)</f>
        <v>0</v>
      </c>
      <c r="G20" s="11" t="n">
        <f aca="false">IF(MONTH(G$4)=Parametri!$B$13,-SUMIFS(Parametri!$E$7:$E$8,Parametri!$G$7:$G$8,1),0)</f>
        <v>0</v>
      </c>
      <c r="H20" s="11" t="n">
        <f aca="false">IF(MONTH(H$4)=Parametri!$B$13,-SUMIFS(Parametri!$E$7:$E$8,Parametri!$G$7:$G$8,1),0)</f>
        <v>0</v>
      </c>
      <c r="I20" s="11" t="n">
        <f aca="false">IF(MONTH(I$4)=Parametri!$B$13,-SUMIFS(Parametri!$E$7:$E$8,Parametri!$G$7:$G$8,1),0)</f>
        <v>0</v>
      </c>
      <c r="J20" s="11" t="n">
        <f aca="false">IF(MONTH(J$4)=Parametri!$B$13,-SUMIFS(Parametri!$E$7:$E$8,Parametri!$G$7:$G$8,1),0)</f>
        <v>0</v>
      </c>
      <c r="K20" s="11" t="n">
        <f aca="false">IF(MONTH(K$4)=Parametri!$B$13,-SUMIFS(Parametri!$E$7:$E$8,Parametri!$G$7:$G$8,1),0)</f>
        <v>0</v>
      </c>
      <c r="L20" s="11" t="n">
        <f aca="false">IF(MONTH(L$4)=Parametri!$B$13,-SUMIFS(Parametri!$E$7:$E$8,Parametri!$G$7:$G$8,1),0)</f>
        <v>0</v>
      </c>
      <c r="M20" s="11" t="n">
        <f aca="false">IF(MONTH(M$4)=Parametri!$B$13,-SUMIFS(Parametri!$E$7:$E$8,Parametri!$G$7:$G$8,1),0)</f>
        <v>0</v>
      </c>
      <c r="N20" s="12" t="n">
        <f aca="false">SUM(B20:M20)</f>
        <v>-11000</v>
      </c>
    </row>
    <row r="21" customFormat="false" ht="15" hidden="false" customHeight="false" outlineLevel="0" collapsed="false">
      <c r="A21" s="10" t="s">
        <v>33</v>
      </c>
      <c r="B21" s="11" t="n">
        <f aca="false">-SUMIFS(Parametri!$F$7:$F$8,Parametri!$G$7:$G$8,1)</f>
        <v>-1200</v>
      </c>
      <c r="C21" s="11" t="n">
        <f aca="false">-SUMIFS(Parametri!$F$7:$F$8,Parametri!$G$7:$G$8,1)</f>
        <v>-1200</v>
      </c>
      <c r="D21" s="11" t="n">
        <f aca="false">-SUMIFS(Parametri!$F$7:$F$8,Parametri!$G$7:$G$8,1)</f>
        <v>-1200</v>
      </c>
      <c r="E21" s="11" t="n">
        <f aca="false">-SUMIFS(Parametri!$F$7:$F$8,Parametri!$G$7:$G$8,1)</f>
        <v>-1200</v>
      </c>
      <c r="F21" s="11" t="n">
        <f aca="false">-SUMIFS(Parametri!$F$7:$F$8,Parametri!$G$7:$G$8,1)</f>
        <v>-1200</v>
      </c>
      <c r="G21" s="11" t="n">
        <f aca="false">-SUMIFS(Parametri!$F$7:$F$8,Parametri!$G$7:$G$8,1)</f>
        <v>-1200</v>
      </c>
      <c r="H21" s="11" t="n">
        <f aca="false">-SUMIFS(Parametri!$F$7:$F$8,Parametri!$G$7:$G$8,1)</f>
        <v>-1200</v>
      </c>
      <c r="I21" s="11" t="n">
        <f aca="false">-SUMIFS(Parametri!$F$7:$F$8,Parametri!$G$7:$G$8,1)</f>
        <v>-1200</v>
      </c>
      <c r="J21" s="11" t="n">
        <f aca="false">-SUMIFS(Parametri!$F$7:$F$8,Parametri!$G$7:$G$8,1)</f>
        <v>-1200</v>
      </c>
      <c r="K21" s="11" t="n">
        <f aca="false">-SUMIFS(Parametri!$F$7:$F$8,Parametri!$G$7:$G$8,1)</f>
        <v>-1200</v>
      </c>
      <c r="L21" s="11" t="n">
        <f aca="false">-SUMIFS(Parametri!$F$7:$F$8,Parametri!$G$7:$G$8,1)</f>
        <v>-1200</v>
      </c>
      <c r="M21" s="11" t="n">
        <f aca="false">-SUMIFS(Parametri!$F$7:$F$8,Parametri!$G$7:$G$8,1)</f>
        <v>-1200</v>
      </c>
      <c r="N21" s="12" t="n">
        <f aca="false">SUM(B21:M21)</f>
        <v>-14400</v>
      </c>
    </row>
    <row r="22" customFormat="false" ht="15" hidden="false" customHeight="false" outlineLevel="0" collapsed="false">
      <c r="A22" s="10" t="s">
        <v>34</v>
      </c>
      <c r="B22" s="11" t="n">
        <f aca="false">-SUMIFS(Parametri!$D$7:$D$8,Parametri!$G$7:$G$8,1)*IF(MONTH(B$4)=6,Parametri!$B$14,IF(MONTH(B$4)=11,Parametri!$B$15,0))</f>
        <v>-0</v>
      </c>
      <c r="C22" s="11" t="n">
        <f aca="false">-SUMIFS(Parametri!$D$7:$D$8,Parametri!$G$7:$G$8,1)*IF(MONTH(C$4)=6,Parametri!$B$14,IF(MONTH(C$4)=11,Parametri!$B$15,0))</f>
        <v>-0</v>
      </c>
      <c r="D22" s="11" t="n">
        <f aca="false">-SUMIFS(Parametri!$D$7:$D$8,Parametri!$G$7:$G$8,1)*IF(MONTH(D$4)=6,Parametri!$B$14,IF(MONTH(D$4)=11,Parametri!$B$15,0))</f>
        <v>-0</v>
      </c>
      <c r="E22" s="11" t="n">
        <f aca="false">-SUMIFS(Parametri!$D$7:$D$8,Parametri!$G$7:$G$8,1)*IF(MONTH(E$4)=6,Parametri!$B$14,IF(MONTH(E$4)=11,Parametri!$B$15,0))</f>
        <v>-0</v>
      </c>
      <c r="F22" s="11" t="n">
        <f aca="false">-SUMIFS(Parametri!$D$7:$D$8,Parametri!$G$7:$G$8,1)*IF(MONTH(F$4)=6,Parametri!$B$14,IF(MONTH(F$4)=11,Parametri!$B$15,0))</f>
        <v>-0</v>
      </c>
      <c r="G22" s="11" t="n">
        <f aca="false">-SUMIFS(Parametri!$D$7:$D$8,Parametri!$G$7:$G$8,1)*IF(MONTH(G$4)=6,Parametri!$B$14,IF(MONTH(G$4)=11,Parametri!$B$15,0))</f>
        <v>-12000</v>
      </c>
      <c r="H22" s="11" t="n">
        <f aca="false">-SUMIFS(Parametri!$D$7:$D$8,Parametri!$G$7:$G$8,1)*IF(MONTH(H$4)=6,Parametri!$B$14,IF(MONTH(H$4)=11,Parametri!$B$15,0))</f>
        <v>-0</v>
      </c>
      <c r="I22" s="11" t="n">
        <f aca="false">-SUMIFS(Parametri!$D$7:$D$8,Parametri!$G$7:$G$8,1)*IF(MONTH(I$4)=6,Parametri!$B$14,IF(MONTH(I$4)=11,Parametri!$B$15,0))</f>
        <v>-0</v>
      </c>
      <c r="J22" s="11" t="n">
        <f aca="false">-SUMIFS(Parametri!$D$7:$D$8,Parametri!$G$7:$G$8,1)*IF(MONTH(J$4)=6,Parametri!$B$14,IF(MONTH(J$4)=11,Parametri!$B$15,0))</f>
        <v>-0</v>
      </c>
      <c r="K22" s="11" t="n">
        <f aca="false">-SUMIFS(Parametri!$D$7:$D$8,Parametri!$G$7:$G$8,1)*IF(MONTH(K$4)=6,Parametri!$B$14,IF(MONTH(K$4)=11,Parametri!$B$15,0))</f>
        <v>-0</v>
      </c>
      <c r="L22" s="11" t="n">
        <f aca="false">-SUMIFS(Parametri!$D$7:$D$8,Parametri!$G$7:$G$8,1)*IF(MONTH(L$4)=6,Parametri!$B$14,IF(MONTH(L$4)=11,Parametri!$B$15,0))</f>
        <v>-18000</v>
      </c>
      <c r="M22" s="11" t="n">
        <f aca="false">-SUMIFS(Parametri!$D$7:$D$8,Parametri!$G$7:$G$8,1)*IF(MONTH(M$4)=6,Parametri!$B$14,IF(MONTH(M$4)=11,Parametri!$B$15,0))</f>
        <v>-0</v>
      </c>
      <c r="N22" s="12" t="n">
        <f aca="false">SUM(B22:M22)</f>
        <v>-30000</v>
      </c>
    </row>
    <row r="23" customFormat="false" ht="15" hidden="false" customHeight="false" outlineLevel="0" collapsed="false">
      <c r="A23" s="10" t="s">
        <v>35</v>
      </c>
      <c r="B23" s="11" t="n">
        <f aca="false">SUMIFS(Straordinari!$F$5:$F$64,Straordinari!$G$5:$G$64,1,Straordinari!$D$5:$D$64,"Commerciale",Straordinari!$A$5:$A$64,"&gt;="&amp;B$4,Straordinari!$A$5:$A$64,"&lt;"&amp;EDATE(B$4,1))</f>
        <v>0</v>
      </c>
      <c r="C23" s="11" t="n">
        <f aca="false">SUMIFS(Straordinari!$F$5:$F$64,Straordinari!$G$5:$G$64,1,Straordinari!$D$5:$D$64,"Commerciale",Straordinari!$A$5:$A$64,"&gt;="&amp;C$4,Straordinari!$A$5:$A$64,"&lt;"&amp;EDATE(C$4,1))</f>
        <v>0</v>
      </c>
      <c r="D23" s="11" t="n">
        <f aca="false">SUMIFS(Straordinari!$F$5:$F$64,Straordinari!$G$5:$G$64,1,Straordinari!$D$5:$D$64,"Commerciale",Straordinari!$A$5:$A$64,"&gt;="&amp;D$4,Straordinari!$A$5:$A$64,"&lt;"&amp;EDATE(D$4,1))</f>
        <v>0</v>
      </c>
      <c r="E23" s="11" t="n">
        <f aca="false">SUMIFS(Straordinari!$F$5:$F$64,Straordinari!$G$5:$G$64,1,Straordinari!$D$5:$D$64,"Commerciale",Straordinari!$A$5:$A$64,"&gt;="&amp;E$4,Straordinari!$A$5:$A$64,"&lt;"&amp;EDATE(E$4,1))</f>
        <v>0</v>
      </c>
      <c r="F23" s="11" t="n">
        <f aca="false">SUMIFS(Straordinari!$F$5:$F$64,Straordinari!$G$5:$G$64,1,Straordinari!$D$5:$D$64,"Commerciale",Straordinari!$A$5:$A$64,"&gt;="&amp;F$4,Straordinari!$A$5:$A$64,"&lt;"&amp;EDATE(F$4,1))</f>
        <v>0</v>
      </c>
      <c r="G23" s="11" t="n">
        <f aca="false">SUMIFS(Straordinari!$F$5:$F$64,Straordinari!$G$5:$G$64,1,Straordinari!$D$5:$D$64,"Commerciale",Straordinari!$A$5:$A$64,"&gt;="&amp;G$4,Straordinari!$A$5:$A$64,"&lt;"&amp;EDATE(G$4,1))</f>
        <v>-350</v>
      </c>
      <c r="H23" s="11" t="n">
        <f aca="false">SUMIFS(Straordinari!$F$5:$F$64,Straordinari!$G$5:$G$64,1,Straordinari!$D$5:$D$64,"Commerciale",Straordinari!$A$5:$A$64,"&gt;="&amp;H$4,Straordinari!$A$5:$A$64,"&lt;"&amp;EDATE(H$4,1))</f>
        <v>0</v>
      </c>
      <c r="I23" s="11" t="n">
        <f aca="false">SUMIFS(Straordinari!$F$5:$F$64,Straordinari!$G$5:$G$64,1,Straordinari!$D$5:$D$64,"Commerciale",Straordinari!$A$5:$A$64,"&gt;="&amp;I$4,Straordinari!$A$5:$A$64,"&lt;"&amp;EDATE(I$4,1))</f>
        <v>0</v>
      </c>
      <c r="J23" s="11" t="n">
        <f aca="false">SUMIFS(Straordinari!$F$5:$F$64,Straordinari!$G$5:$G$64,1,Straordinari!$D$5:$D$64,"Commerciale",Straordinari!$A$5:$A$64,"&gt;="&amp;J$4,Straordinari!$A$5:$A$64,"&lt;"&amp;EDATE(J$4,1))</f>
        <v>0</v>
      </c>
      <c r="K23" s="11" t="n">
        <f aca="false">SUMIFS(Straordinari!$F$5:$F$64,Straordinari!$G$5:$G$64,1,Straordinari!$D$5:$D$64,"Commerciale",Straordinari!$A$5:$A$64,"&gt;="&amp;K$4,Straordinari!$A$5:$A$64,"&lt;"&amp;EDATE(K$4,1))</f>
        <v>0</v>
      </c>
      <c r="L23" s="11" t="n">
        <f aca="false">SUMIFS(Straordinari!$F$5:$F$64,Straordinari!$G$5:$G$64,1,Straordinari!$D$5:$D$64,"Commerciale",Straordinari!$A$5:$A$64,"&gt;="&amp;L$4,Straordinari!$A$5:$A$64,"&lt;"&amp;EDATE(L$4,1))</f>
        <v>0</v>
      </c>
      <c r="M23" s="11" t="n">
        <f aca="false">SUMIFS(Straordinari!$F$5:$F$64,Straordinari!$G$5:$G$64,1,Straordinari!$D$5:$D$64,"Commerciale",Straordinari!$A$5:$A$64,"&gt;="&amp;M$4,Straordinari!$A$5:$A$64,"&lt;"&amp;EDATE(M$4,1))</f>
        <v>0</v>
      </c>
      <c r="N23" s="12" t="n">
        <f aca="false">SUM(B23:M23)</f>
        <v>-350</v>
      </c>
    </row>
    <row r="24" customFormat="false" ht="15" hidden="false" customHeight="false" outlineLevel="0" collapsed="false">
      <c r="A24" s="10" t="s">
        <v>36</v>
      </c>
      <c r="B24" s="11" t="n">
        <f aca="false">SUMIFS(Straordinari!$F$5:$F$64,Straordinari!$G$5:$G$64,1,Straordinari!$D$5:$D$64,"Compravendita",Straordinari!$A$5:$A$64,"&gt;="&amp;B$4,Straordinari!$A$5:$A$64,"&lt;"&amp;EDATE(B$4,1),Straordinari!$F$5:$F$64,"&lt;0")</f>
        <v>0</v>
      </c>
      <c r="C24" s="11" t="n">
        <f aca="false">SUMIFS(Straordinari!$F$5:$F$64,Straordinari!$G$5:$G$64,1,Straordinari!$D$5:$D$64,"Compravendita",Straordinari!$A$5:$A$64,"&gt;="&amp;C$4,Straordinari!$A$5:$A$64,"&lt;"&amp;EDATE(C$4,1),Straordinari!$F$5:$F$64,"&lt;0")</f>
        <v>0</v>
      </c>
      <c r="D24" s="11" t="n">
        <f aca="false">SUMIFS(Straordinari!$F$5:$F$64,Straordinari!$G$5:$G$64,1,Straordinari!$D$5:$D$64,"Compravendita",Straordinari!$A$5:$A$64,"&gt;="&amp;D$4,Straordinari!$A$5:$A$64,"&lt;"&amp;EDATE(D$4,1),Straordinari!$F$5:$F$64,"&lt;0")</f>
        <v>0</v>
      </c>
      <c r="E24" s="11" t="n">
        <f aca="false">SUMIFS(Straordinari!$F$5:$F$64,Straordinari!$G$5:$G$64,1,Straordinari!$D$5:$D$64,"Compravendita",Straordinari!$A$5:$A$64,"&gt;="&amp;E$4,Straordinari!$A$5:$A$64,"&lt;"&amp;EDATE(E$4,1),Straordinari!$F$5:$F$64,"&lt;0")</f>
        <v>0</v>
      </c>
      <c r="F24" s="11" t="n">
        <f aca="false">SUMIFS(Straordinari!$F$5:$F$64,Straordinari!$G$5:$G$64,1,Straordinari!$D$5:$D$64,"Compravendita",Straordinari!$A$5:$A$64,"&gt;="&amp;F$4,Straordinari!$A$5:$A$64,"&lt;"&amp;EDATE(F$4,1),Straordinari!$F$5:$F$64,"&lt;0")</f>
        <v>0</v>
      </c>
      <c r="G24" s="11" t="n">
        <f aca="false">SUMIFS(Straordinari!$F$5:$F$64,Straordinari!$G$5:$G$64,1,Straordinari!$D$5:$D$64,"Compravendita",Straordinari!$A$5:$A$64,"&gt;="&amp;G$4,Straordinari!$A$5:$A$64,"&lt;"&amp;EDATE(G$4,1),Straordinari!$F$5:$F$64,"&lt;0")</f>
        <v>0</v>
      </c>
      <c r="H24" s="11" t="n">
        <f aca="false">SUMIFS(Straordinari!$F$5:$F$64,Straordinari!$G$5:$G$64,1,Straordinari!$D$5:$D$64,"Compravendita",Straordinari!$A$5:$A$64,"&gt;="&amp;H$4,Straordinari!$A$5:$A$64,"&lt;"&amp;EDATE(H$4,1),Straordinari!$F$5:$F$64,"&lt;0")</f>
        <v>0</v>
      </c>
      <c r="I24" s="11" t="n">
        <f aca="false">SUMIFS(Straordinari!$F$5:$F$64,Straordinari!$G$5:$G$64,1,Straordinari!$D$5:$D$64,"Compravendita",Straordinari!$A$5:$A$64,"&gt;="&amp;I$4,Straordinari!$A$5:$A$64,"&lt;"&amp;EDATE(I$4,1),Straordinari!$F$5:$F$64,"&lt;0")</f>
        <v>0</v>
      </c>
      <c r="J24" s="11" t="n">
        <f aca="false">SUMIFS(Straordinari!$F$5:$F$64,Straordinari!$G$5:$G$64,1,Straordinari!$D$5:$D$64,"Compravendita",Straordinari!$A$5:$A$64,"&gt;="&amp;J$4,Straordinari!$A$5:$A$64,"&lt;"&amp;EDATE(J$4,1),Straordinari!$F$5:$F$64,"&lt;0")</f>
        <v>-40000</v>
      </c>
      <c r="K24" s="11" t="n">
        <f aca="false">SUMIFS(Straordinari!$F$5:$F$64,Straordinari!$G$5:$G$64,1,Straordinari!$D$5:$D$64,"Compravendita",Straordinari!$A$5:$A$64,"&gt;="&amp;K$4,Straordinari!$A$5:$A$64,"&lt;"&amp;EDATE(K$4,1),Straordinari!$F$5:$F$64,"&lt;0")</f>
        <v>0</v>
      </c>
      <c r="L24" s="11" t="n">
        <f aca="false">SUMIFS(Straordinari!$F$5:$F$64,Straordinari!$G$5:$G$64,1,Straordinari!$D$5:$D$64,"Compravendita",Straordinari!$A$5:$A$64,"&gt;="&amp;L$4,Straordinari!$A$5:$A$64,"&lt;"&amp;EDATE(L$4,1),Straordinari!$F$5:$F$64,"&lt;0")</f>
        <v>0</v>
      </c>
      <c r="M24" s="11" t="n">
        <f aca="false">SUMIFS(Straordinari!$F$5:$F$64,Straordinari!$G$5:$G$64,1,Straordinari!$D$5:$D$64,"Compravendita",Straordinari!$A$5:$A$64,"&gt;="&amp;M$4,Straordinari!$A$5:$A$64,"&lt;"&amp;EDATE(M$4,1),Straordinari!$F$5:$F$64,"&lt;0")</f>
        <v>0</v>
      </c>
      <c r="N24" s="12" t="n">
        <f aca="false">SUM(B24:M24)</f>
        <v>-40000</v>
      </c>
    </row>
    <row r="25" customFormat="false" ht="15" hidden="false" customHeight="false" outlineLevel="0" collapsed="false">
      <c r="A25" s="13" t="s">
        <v>37</v>
      </c>
      <c r="B25" s="12" t="n">
        <f aca="false">SUM(B13:B24)</f>
        <v>-24820.3460209368</v>
      </c>
      <c r="C25" s="12" t="n">
        <f aca="false">SUM(C13:C24)</f>
        <v>-13472.3460209368</v>
      </c>
      <c r="D25" s="12" t="n">
        <f aca="false">SUM(D13:D24)</f>
        <v>-25936.3460209368</v>
      </c>
      <c r="E25" s="12" t="n">
        <f aca="false">SUM(E13:E24)</f>
        <v>-16131.3460209368</v>
      </c>
      <c r="F25" s="12" t="n">
        <f aca="false">SUM(F13:F24)</f>
        <v>-15375.3460209368</v>
      </c>
      <c r="G25" s="12" t="n">
        <f aca="false">SUM(G13:G24)</f>
        <v>-37888.2160209368</v>
      </c>
      <c r="H25" s="12" t="n">
        <f aca="false">SUM(H13:H24)</f>
        <v>-17591.3460209368</v>
      </c>
      <c r="I25" s="12" t="n">
        <f aca="false">SUM(I13:I24)</f>
        <v>-13127.3460209368</v>
      </c>
      <c r="J25" s="12" t="n">
        <f aca="false">SUM(J13:J24)</f>
        <v>-53616.3460209368</v>
      </c>
      <c r="K25" s="12" t="n">
        <f aca="false">SUM(K13:K24)</f>
        <v>-14608.3460209368</v>
      </c>
      <c r="L25" s="12" t="n">
        <f aca="false">SUM(L13:L24)</f>
        <v>-31405.1460209368</v>
      </c>
      <c r="M25" s="12" t="n">
        <f aca="false">SUM(M13:M24)</f>
        <v>-25511.0960209368</v>
      </c>
      <c r="N25" s="12" t="n">
        <f aca="false">SUM(B25:M25)</f>
        <v>-289483.572251242</v>
      </c>
    </row>
    <row r="27" customFormat="false" ht="15" hidden="false" customHeight="false" outlineLevel="0" collapsed="false">
      <c r="A27" s="13" t="s">
        <v>38</v>
      </c>
      <c r="B27" s="12" t="n">
        <f aca="false">B10+B25</f>
        <v>-1917.7460209368</v>
      </c>
      <c r="C27" s="12" t="n">
        <f aca="false">C10+C25</f>
        <v>12030.2539790632</v>
      </c>
      <c r="D27" s="12" t="n">
        <f aca="false">D10+D25</f>
        <v>-433.746020936796</v>
      </c>
      <c r="E27" s="12" t="n">
        <f aca="false">E10+E25</f>
        <v>8293.25397906321</v>
      </c>
      <c r="F27" s="12" t="n">
        <f aca="false">F10+F25</f>
        <v>9049.25397906321</v>
      </c>
      <c r="G27" s="12" t="n">
        <f aca="false">G10+G25</f>
        <v>-13463.6160209368</v>
      </c>
      <c r="H27" s="12" t="n">
        <f aca="false">H10+H25</f>
        <v>6833.2539790632</v>
      </c>
      <c r="I27" s="12" t="n">
        <f aca="false">I10+I25</f>
        <v>8697.25397906321</v>
      </c>
      <c r="J27" s="12" t="n">
        <f aca="false">J10+J25</f>
        <v>-30713.7460209368</v>
      </c>
      <c r="K27" s="12" t="n">
        <f aca="false">K10+K25</f>
        <v>8294.25397906321</v>
      </c>
      <c r="L27" s="12" t="n">
        <f aca="false">L10+L25</f>
        <v>12497.4539790632</v>
      </c>
      <c r="M27" s="12" t="n">
        <f aca="false">M10+M25</f>
        <v>-2608.4960209368</v>
      </c>
      <c r="N27" s="12" t="n">
        <f aca="false">SUM(B27:M27)</f>
        <v>16557.6277487585</v>
      </c>
    </row>
    <row r="28" customFormat="false" ht="15" hidden="false" customHeight="false" outlineLevel="0" collapsed="false">
      <c r="A28" s="10" t="s">
        <v>39</v>
      </c>
      <c r="B28" s="11" t="n">
        <f aca="false">SUMIFS(Parametri!$C$7:$C$8,Parametri!$G$7:$G$8,1)</f>
        <v>145000</v>
      </c>
      <c r="C28" s="11" t="n">
        <f aca="false">B29</f>
        <v>143082.253979063</v>
      </c>
      <c r="D28" s="11" t="n">
        <f aca="false">C29</f>
        <v>155112.507958126</v>
      </c>
      <c r="E28" s="11" t="n">
        <f aca="false">D29</f>
        <v>154678.76193719</v>
      </c>
      <c r="F28" s="11" t="n">
        <f aca="false">E29</f>
        <v>162972.015916253</v>
      </c>
      <c r="G28" s="11" t="n">
        <f aca="false">F29</f>
        <v>172021.269895316</v>
      </c>
      <c r="H28" s="11" t="n">
        <f aca="false">G29</f>
        <v>158557.653874379</v>
      </c>
      <c r="I28" s="11" t="n">
        <f aca="false">H29</f>
        <v>165390.907853443</v>
      </c>
      <c r="J28" s="11" t="n">
        <f aca="false">I29</f>
        <v>174088.161832506</v>
      </c>
      <c r="K28" s="11" t="n">
        <f aca="false">J29</f>
        <v>143374.415811569</v>
      </c>
      <c r="L28" s="11" t="n">
        <f aca="false">K29</f>
        <v>151668.669790632</v>
      </c>
      <c r="M28" s="11" t="n">
        <f aca="false">L29</f>
        <v>164166.123769695</v>
      </c>
      <c r="N28" s="12" t="n">
        <f aca="false">B28</f>
        <v>145000</v>
      </c>
    </row>
    <row r="29" customFormat="false" ht="15" hidden="false" customHeight="false" outlineLevel="0" collapsed="false">
      <c r="A29" s="13" t="s">
        <v>40</v>
      </c>
      <c r="B29" s="12" t="n">
        <f aca="false">B28+B27</f>
        <v>143082.253979063</v>
      </c>
      <c r="C29" s="12" t="n">
        <f aca="false">C28+C27</f>
        <v>155112.507958126</v>
      </c>
      <c r="D29" s="12" t="n">
        <f aca="false">D28+D27</f>
        <v>154678.76193719</v>
      </c>
      <c r="E29" s="12" t="n">
        <f aca="false">E28+E27</f>
        <v>162972.015916253</v>
      </c>
      <c r="F29" s="12" t="n">
        <f aca="false">F28+F27</f>
        <v>172021.269895316</v>
      </c>
      <c r="G29" s="12" t="n">
        <f aca="false">G28+G27</f>
        <v>158557.653874379</v>
      </c>
      <c r="H29" s="12" t="n">
        <f aca="false">H28+H27</f>
        <v>165390.907853443</v>
      </c>
      <c r="I29" s="12" t="n">
        <f aca="false">I28+I27</f>
        <v>174088.161832506</v>
      </c>
      <c r="J29" s="12" t="n">
        <f aca="false">J28+J27</f>
        <v>143374.415811569</v>
      </c>
      <c r="K29" s="12" t="n">
        <f aca="false">K28+K27</f>
        <v>151668.669790632</v>
      </c>
      <c r="L29" s="12" t="n">
        <f aca="false">L28+L27</f>
        <v>164166.123769695</v>
      </c>
      <c r="M29" s="12" t="n">
        <f aca="false">M28+M27</f>
        <v>161557.627748759</v>
      </c>
      <c r="N29" s="12" t="n">
        <f aca="false">M29</f>
        <v>161557.627748759</v>
      </c>
    </row>
  </sheetData>
  <conditionalFormatting sqref="B27:N2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5" t="s">
        <v>42</v>
      </c>
    </row>
    <row r="4" customFormat="false" ht="31.5" hidden="false" customHeight="true" outlineLevel="0" collapsed="false">
      <c r="A4" s="6" t="s">
        <v>16</v>
      </c>
      <c r="B4" s="14" t="n">
        <f aca="false">Parametri!$B$4+0</f>
        <v>2027</v>
      </c>
      <c r="C4" s="14" t="n">
        <f aca="false">Parametri!$B$4+1</f>
        <v>2028</v>
      </c>
      <c r="D4" s="14" t="n">
        <f aca="false">Parametri!$B$4+2</f>
        <v>2029</v>
      </c>
      <c r="E4" s="14" t="n">
        <f aca="false">Parametri!$B$4+3</f>
        <v>2030</v>
      </c>
      <c r="F4" s="14" t="n">
        <f aca="false">Parametri!$B$4+4</f>
        <v>2031</v>
      </c>
      <c r="G4" s="6" t="s">
        <v>43</v>
      </c>
    </row>
    <row r="5" customFormat="false" ht="15" hidden="false" customHeight="false" outlineLevel="0" collapsed="false">
      <c r="A5" s="10" t="s">
        <v>44</v>
      </c>
      <c r="B5" s="11" t="n">
        <f aca="false">'Cash Flow'!N6+'Cash Flow'!N7</f>
        <v>269441.2</v>
      </c>
      <c r="C5" s="11" t="n">
        <f aca="false">B5*(1+Parametri!$B$16)^1</f>
        <v>274830.024</v>
      </c>
      <c r="D5" s="11" t="n">
        <f aca="false">B5*(1+Parametri!$B$16)^2</f>
        <v>280326.62448</v>
      </c>
      <c r="E5" s="11" t="n">
        <f aca="false">B5*(1+Parametri!$B$16)^3</f>
        <v>285933.1569696</v>
      </c>
      <c r="F5" s="11" t="n">
        <f aca="false">B5*(1+Parametri!$B$16)^4</f>
        <v>291651.820108992</v>
      </c>
      <c r="G5" s="15" t="n">
        <f aca="false">SUM(B5:F5)</f>
        <v>1402182.82555859</v>
      </c>
    </row>
    <row r="6" customFormat="false" ht="15" hidden="false" customHeight="false" outlineLevel="0" collapsed="false">
      <c r="A6" s="10" t="s">
        <v>45</v>
      </c>
      <c r="B6" s="11" t="n">
        <f aca="false">'Cash Flow'!N8+'Cash Flow'!N9</f>
        <v>36600</v>
      </c>
      <c r="C6" s="11" t="n">
        <f aca="false">0</f>
        <v>0</v>
      </c>
      <c r="D6" s="11" t="n">
        <f aca="false">0</f>
        <v>0</v>
      </c>
      <c r="E6" s="11" t="n">
        <f aca="false">0</f>
        <v>0</v>
      </c>
      <c r="F6" s="11" t="n">
        <f aca="false">0</f>
        <v>0</v>
      </c>
      <c r="G6" s="15" t="n">
        <f aca="false">SUM(B6:F6)</f>
        <v>36600</v>
      </c>
    </row>
    <row r="7" customFormat="false" ht="15" hidden="false" customHeight="false" outlineLevel="0" collapsed="false">
      <c r="A7" s="10" t="s">
        <v>46</v>
      </c>
      <c r="B7" s="11" t="n">
        <f aca="false">-SUMIFS(Mutui!$P$5:$P$8,Mutui!$O$5:$O$8,1)</f>
        <v>-112650.952251242</v>
      </c>
      <c r="C7" s="11" t="n">
        <f aca="false">-SUMIFS(Mutui!$Q$5:$Q$8,Mutui!$O$5:$O$8,1)</f>
        <v>-112650.952251242</v>
      </c>
      <c r="D7" s="11" t="n">
        <f aca="false">-SUMIFS(Mutui!$R$5:$R$8,Mutui!$O$5:$O$8,1)</f>
        <v>-99924.770098329</v>
      </c>
      <c r="E7" s="11" t="n">
        <f aca="false">-SUMIFS(Mutui!$S$5:$S$8,Mutui!$O$5:$O$8,1)</f>
        <v>-87198.5879454166</v>
      </c>
      <c r="F7" s="11" t="n">
        <f aca="false">-SUMIFS(Mutui!$T$5:$T$8,Mutui!$O$5:$O$8,1)</f>
        <v>-87198.5879454166</v>
      </c>
      <c r="G7" s="15" t="n">
        <f aca="false">SUM(B7:F7)</f>
        <v>-499623.850491645</v>
      </c>
    </row>
    <row r="8" customFormat="false" ht="15" hidden="false" customHeight="false" outlineLevel="0" collapsed="false">
      <c r="A8" s="13" t="s">
        <v>47</v>
      </c>
      <c r="B8" s="12" t="n">
        <f aca="false">'Cash Flow'!N14</f>
        <v>-24521.62</v>
      </c>
      <c r="C8" s="12" t="n">
        <f aca="false">$B$8</f>
        <v>-24521.62</v>
      </c>
      <c r="D8" s="12" t="n">
        <f aca="false">$B$8</f>
        <v>-24521.62</v>
      </c>
      <c r="E8" s="12" t="n">
        <f aca="false">$B$8</f>
        <v>-24521.62</v>
      </c>
      <c r="F8" s="12" t="n">
        <f aca="false">$B$8</f>
        <v>-24521.62</v>
      </c>
      <c r="G8" s="15" t="n">
        <f aca="false">SUM(B8:F8)</f>
        <v>-122608.1</v>
      </c>
    </row>
    <row r="9" customFormat="false" ht="15" hidden="false" customHeight="false" outlineLevel="0" collapsed="false">
      <c r="A9" s="10" t="s">
        <v>48</v>
      </c>
      <c r="B9" s="11" t="n">
        <f aca="false">'Cash Flow'!N15+'Cash Flow'!N16+'Cash Flow'!N17+'Cash Flow'!N19+'Cash Flow'!N20+'Cash Flow'!N21+'Cash Flow'!N22</f>
        <v>-89461</v>
      </c>
      <c r="C9" s="11" t="n">
        <f aca="false">$B$9*(1+Parametri!$B$17)^1</f>
        <v>-91250.22</v>
      </c>
      <c r="D9" s="11" t="n">
        <f aca="false">$B$9*(1+Parametri!$B$17)^2</f>
        <v>-93075.2244</v>
      </c>
      <c r="E9" s="11" t="n">
        <f aca="false">$B$9*(1+Parametri!$B$17)^3</f>
        <v>-94936.728888</v>
      </c>
      <c r="F9" s="11" t="n">
        <f aca="false">$B$9*(1+Parametri!$B$17)^4</f>
        <v>-96835.46346576</v>
      </c>
      <c r="G9" s="15" t="n">
        <f aca="false">SUM(B9:F9)</f>
        <v>-465558.63675376</v>
      </c>
    </row>
    <row r="10" customFormat="false" ht="15" hidden="false" customHeight="false" outlineLevel="0" collapsed="false">
      <c r="A10" s="10" t="s">
        <v>49</v>
      </c>
      <c r="B10" s="11" t="n">
        <f aca="false">'Cash Flow'!N18</f>
        <v>-22500</v>
      </c>
      <c r="C10" s="11" t="n">
        <f aca="false">-Immobili!$H$17*Parametri!$B$18*(1+Parametri!$B$17)^1</f>
        <v>-22225.8</v>
      </c>
      <c r="D10" s="11" t="n">
        <f aca="false">-Immobili!$H$17*Parametri!$B$18*(1+Parametri!$B$17)^2</f>
        <v>-22670.316</v>
      </c>
      <c r="E10" s="11" t="n">
        <f aca="false">-Immobili!$H$17*Parametri!$B$18*(1+Parametri!$B$17)^3</f>
        <v>-23123.72232</v>
      </c>
      <c r="F10" s="11" t="n">
        <f aca="false">-Immobili!$H$17*Parametri!$B$18*(1+Parametri!$B$17)^4</f>
        <v>-23586.1967664</v>
      </c>
      <c r="G10" s="15" t="n">
        <f aca="false">SUM(B10:F10)</f>
        <v>-114106.0350864</v>
      </c>
    </row>
    <row r="11" customFormat="false" ht="15" hidden="false" customHeight="false" outlineLevel="0" collapsed="false">
      <c r="A11" s="10" t="s">
        <v>50</v>
      </c>
      <c r="B11" s="11" t="n">
        <f aca="false">'Cash Flow'!N23+'Cash Flow'!N24</f>
        <v>-40350</v>
      </c>
      <c r="C11" s="11" t="n">
        <f aca="false">0</f>
        <v>0</v>
      </c>
      <c r="D11" s="11" t="n">
        <f aca="false">0</f>
        <v>0</v>
      </c>
      <c r="E11" s="11" t="n">
        <f aca="false">0</f>
        <v>0</v>
      </c>
      <c r="F11" s="11" t="n">
        <f aca="false">0</f>
        <v>0</v>
      </c>
      <c r="G11" s="15" t="n">
        <f aca="false">SUM(B11:F11)</f>
        <v>-40350</v>
      </c>
    </row>
    <row r="12" customFormat="false" ht="15" hidden="false" customHeight="false" outlineLevel="0" collapsed="false">
      <c r="A12" s="13" t="s">
        <v>51</v>
      </c>
      <c r="B12" s="12" t="n">
        <f aca="false">SUM(B5:B11)</f>
        <v>16557.6277487585</v>
      </c>
      <c r="C12" s="12" t="n">
        <f aca="false">SUM(C5:C11)</f>
        <v>24181.4317487585</v>
      </c>
      <c r="D12" s="12" t="n">
        <f aca="false">SUM(D5:D11)</f>
        <v>40134.693981671</v>
      </c>
      <c r="E12" s="12" t="n">
        <f aca="false">SUM(E5:E11)</f>
        <v>56152.4978161835</v>
      </c>
      <c r="F12" s="12" t="n">
        <f aca="false">SUM(F5:F11)</f>
        <v>59509.9519314154</v>
      </c>
      <c r="G12" s="15" t="n">
        <f aca="false">SUM(B12:F12)</f>
        <v>196536.203226787</v>
      </c>
    </row>
    <row r="13" customFormat="false" ht="15" hidden="false" customHeight="false" outlineLevel="0" collapsed="false">
      <c r="A13" s="10" t="s">
        <v>39</v>
      </c>
      <c r="B13" s="11" t="n">
        <f aca="false">'Cash Flow'!B28</f>
        <v>145000</v>
      </c>
      <c r="C13" s="11" t="n">
        <f aca="false">B14</f>
        <v>161557.627748759</v>
      </c>
      <c r="D13" s="11" t="n">
        <f aca="false">C14</f>
        <v>185739.059497517</v>
      </c>
      <c r="E13" s="11" t="n">
        <f aca="false">D14</f>
        <v>225873.753479188</v>
      </c>
      <c r="F13" s="11" t="n">
        <f aca="false">E14</f>
        <v>282026.251295371</v>
      </c>
      <c r="G13" s="15" t="n">
        <f aca="false">B13</f>
        <v>145000</v>
      </c>
    </row>
    <row r="14" customFormat="false" ht="15" hidden="false" customHeight="false" outlineLevel="0" collapsed="false">
      <c r="A14" s="13" t="s">
        <v>40</v>
      </c>
      <c r="B14" s="12" t="n">
        <f aca="false">B13+B12</f>
        <v>161557.627748759</v>
      </c>
      <c r="C14" s="12" t="n">
        <f aca="false">C13+C12</f>
        <v>185739.059497517</v>
      </c>
      <c r="D14" s="12" t="n">
        <f aca="false">D13+D12</f>
        <v>225873.753479188</v>
      </c>
      <c r="E14" s="12" t="n">
        <f aca="false">E13+E12</f>
        <v>282026.251295371</v>
      </c>
      <c r="F14" s="12" t="n">
        <f aca="false">F13+F12</f>
        <v>341536.203226787</v>
      </c>
      <c r="G14" s="15" t="n">
        <f aca="false">F14</f>
        <v>341536.203226787</v>
      </c>
    </row>
    <row r="15" customFormat="false" ht="15" hidden="false" customHeight="false" outlineLevel="0" collapsed="false">
      <c r="A15" s="10" t="s">
        <v>52</v>
      </c>
      <c r="B15" s="11" t="n">
        <f aca="false">Mutui!$I$9</f>
        <v>800381.196241575</v>
      </c>
      <c r="C15" s="11" t="n">
        <f aca="false">MAX(0,B15-(-C7)*0.7)</f>
        <v>721525.529665706</v>
      </c>
      <c r="D15" s="11" t="n">
        <f aca="false">MAX(0,C15-(-D7)*0.7)</f>
        <v>651578.190596876</v>
      </c>
      <c r="E15" s="11" t="n">
        <f aca="false">MAX(0,D15-(-E7)*0.7)</f>
        <v>590539.179035084</v>
      </c>
      <c r="F15" s="11" t="n">
        <f aca="false">MAX(0,E15-(-F7)*0.7)</f>
        <v>529500.167473292</v>
      </c>
      <c r="G15" s="15" t="n">
        <f aca="false">F15</f>
        <v>529500.167473292</v>
      </c>
    </row>
    <row r="17" customFormat="false" ht="15" hidden="false" customHeight="false" outlineLevel="0" collapsed="false">
      <c r="A17" s="5" t="s">
        <v>53</v>
      </c>
    </row>
  </sheetData>
  <conditionalFormatting sqref="B12:G14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5" t="s">
        <v>55</v>
      </c>
    </row>
    <row r="4" customFormat="false" ht="31.5" hidden="false" customHeight="true" outlineLevel="0" collapsed="false">
      <c r="A4" s="6" t="s">
        <v>56</v>
      </c>
      <c r="B4" s="6" t="s">
        <v>57</v>
      </c>
      <c r="C4" s="6" t="s">
        <v>58</v>
      </c>
      <c r="D4" s="6" t="s">
        <v>59</v>
      </c>
    </row>
    <row r="5" customFormat="false" ht="15" hidden="false" customHeight="false" outlineLevel="0" collapsed="false">
      <c r="A5" s="16" t="s">
        <v>60</v>
      </c>
      <c r="B5" s="17" t="n">
        <f aca="false">COUNTIFS(Immobili!$B$5:$B$16,"IU")</f>
        <v>6</v>
      </c>
      <c r="C5" s="17" t="n">
        <f aca="false">COUNTIFS(Immobili!$B$5:$B$16,"ID")</f>
        <v>6</v>
      </c>
      <c r="D5" s="18" t="n">
        <f aca="false">SUM(B5:C5)</f>
        <v>12</v>
      </c>
    </row>
    <row r="6" customFormat="false" ht="15" hidden="false" customHeight="false" outlineLevel="0" collapsed="false">
      <c r="A6" s="16" t="s">
        <v>61</v>
      </c>
      <c r="B6" s="11" t="n">
        <f aca="false">SUMIFS(Immobili!$H$5:$H$16,Immobili!$B$5:$B$16,"IU")</f>
        <v>2600000</v>
      </c>
      <c r="C6" s="11" t="n">
        <f aca="false">SUMIFS(Immobili!$H$5:$H$16,Immobili!$B$5:$B$16,"ID")</f>
        <v>1758000</v>
      </c>
      <c r="D6" s="15" t="n">
        <f aca="false">SUM(B6:C6)</f>
        <v>4358000</v>
      </c>
    </row>
    <row r="7" customFormat="false" ht="15" hidden="false" customHeight="false" outlineLevel="0" collapsed="false">
      <c r="A7" s="16" t="s">
        <v>62</v>
      </c>
      <c r="B7" s="11" t="n">
        <f aca="false">SUMIFS(Immobili!$I$5:$I$16,Immobili!$B$5:$B$16,"IU")*12</f>
        <v>168840</v>
      </c>
      <c r="C7" s="11" t="n">
        <f aca="false">SUMIFS(Immobili!$I$5:$I$16,Immobili!$B$5:$B$16,"ID")*12</f>
        <v>112560</v>
      </c>
      <c r="D7" s="15" t="n">
        <f aca="false">SUM(B7:C7)</f>
        <v>281400</v>
      </c>
    </row>
    <row r="8" customFormat="false" ht="15" hidden="false" customHeight="false" outlineLevel="0" collapsed="false">
      <c r="A8" s="16" t="s">
        <v>63</v>
      </c>
      <c r="B8" s="11" t="n">
        <f aca="false">SUMIFS(Immobili!$R$5:$R$16,Immobili!$B$5:$B$16,"IU")</f>
        <v>168840</v>
      </c>
      <c r="C8" s="11" t="n">
        <f aca="false">SUMIFS(Immobili!$R$5:$R$16,Immobili!$B$5:$B$16,"ID")</f>
        <v>106100</v>
      </c>
      <c r="D8" s="15" t="n">
        <f aca="false">SUM(B8:C8)</f>
        <v>274940</v>
      </c>
    </row>
    <row r="9" customFormat="false" ht="15" hidden="false" customHeight="false" outlineLevel="0" collapsed="false">
      <c r="A9" s="16" t="s">
        <v>64</v>
      </c>
      <c r="B9" s="19" t="n">
        <f aca="false">IFERROR(SUMIFS(Immobili!$P$5:$P$16,Immobili!$B$5:$B$16,"IU")/(COUNTIFS(Immobili!$B$5:$B$16,"IU")*12),0)</f>
        <v>1</v>
      </c>
      <c r="C9" s="19" t="n">
        <f aca="false">IFERROR(SUMIFS(Immobili!$P$5:$P$16,Immobili!$B$5:$B$16,"ID")/(COUNTIFS(Immobili!$B$5:$B$16,"ID")*12),0)</f>
        <v>0.763888888888889</v>
      </c>
      <c r="D9" s="20" t="n">
        <f aca="false">IFERROR(SUM(Immobili!$P$5:$P$16)/(D5*12),0)</f>
        <v>0.881944444444444</v>
      </c>
    </row>
    <row r="10" customFormat="false" ht="15" hidden="false" customHeight="false" outlineLevel="0" collapsed="false">
      <c r="A10" s="16" t="s">
        <v>65</v>
      </c>
      <c r="B10" s="11" t="n">
        <f aca="false">B7-B8</f>
        <v>0</v>
      </c>
      <c r="C10" s="11" t="n">
        <f aca="false">C7-C8</f>
        <v>6460</v>
      </c>
      <c r="D10" s="15" t="n">
        <f aca="false">SUM(B10:C10)</f>
        <v>6460</v>
      </c>
    </row>
    <row r="11" customFormat="false" ht="15" hidden="false" customHeight="false" outlineLevel="0" collapsed="false">
      <c r="A11" s="16" t="s">
        <v>66</v>
      </c>
      <c r="B11" s="11" t="n">
        <f aca="false">SUMIFS(Immobili!$U$5:$U$16,Immobili!$B$5:$B$16,"IU")</f>
        <v>15612.05</v>
      </c>
      <c r="C11" s="11" t="n">
        <f aca="false">SUMIFS(Immobili!$U$5:$U$16,Immobili!$B$5:$B$16,"ID")</f>
        <v>8909.57</v>
      </c>
      <c r="D11" s="15" t="n">
        <f aca="false">SUM(B11:C11)</f>
        <v>24521.62</v>
      </c>
    </row>
    <row r="12" customFormat="false" ht="15" hidden="false" customHeight="false" outlineLevel="0" collapsed="false">
      <c r="A12" s="16" t="s">
        <v>67</v>
      </c>
      <c r="B12" s="11" t="n">
        <f aca="false">SUMIFS(Immobili!$V$5:$V$16,Immobili!$B$5:$B$16,"IU")</f>
        <v>1984.8</v>
      </c>
      <c r="C12" s="11" t="n">
        <f aca="false">SUMIFS(Immobili!$V$5:$V$16,Immobili!$B$5:$B$16,"ID")</f>
        <v>1368</v>
      </c>
      <c r="D12" s="15" t="n">
        <f aca="false">SUM(B12:C12)</f>
        <v>3352.8</v>
      </c>
    </row>
    <row r="13" customFormat="false" ht="15" hidden="false" customHeight="false" outlineLevel="0" collapsed="false">
      <c r="A13" s="16" t="s">
        <v>68</v>
      </c>
      <c r="B13" s="11" t="n">
        <f aca="false">SUMIFS(Immobili!$N$5:$N$16,Immobili!$B$5:$B$16,"IU")+SUMIFS(Immobili!$W$5:$W$16,Immobili!$B$5:$B$16,"IU")</f>
        <v>21650</v>
      </c>
      <c r="C13" s="11" t="n">
        <f aca="false">SUMIFS(Immobili!$N$5:$N$16,Immobili!$B$5:$B$16,"ID")+SUMIFS(Immobili!$W$5:$W$16,Immobili!$B$5:$B$16,"ID")</f>
        <v>8550</v>
      </c>
      <c r="D13" s="15" t="n">
        <f aca="false">SUM(B13:C13)</f>
        <v>30200</v>
      </c>
    </row>
    <row r="14" customFormat="false" ht="15" hidden="false" customHeight="false" outlineLevel="0" collapsed="false">
      <c r="A14" s="16" t="s">
        <v>69</v>
      </c>
      <c r="B14" s="11" t="n">
        <f aca="false">SUMIFS(Immobili!$X$5:$X$16,Immobili!$B$5:$B$16,"IU")</f>
        <v>45846.85</v>
      </c>
      <c r="C14" s="11" t="n">
        <f aca="false">SUMIFS(Immobili!$X$5:$X$16,Immobili!$B$5:$B$16,"ID")</f>
        <v>26987.57</v>
      </c>
      <c r="D14" s="15" t="n">
        <f aca="false">SUM(B14:C14)</f>
        <v>72834.42</v>
      </c>
    </row>
    <row r="15" customFormat="false" ht="15" hidden="false" customHeight="false" outlineLevel="0" collapsed="false">
      <c r="A15" s="16" t="s">
        <v>70</v>
      </c>
      <c r="B15" s="21" t="n">
        <f aca="false">IFERROR(B7/B6,0)</f>
        <v>0.0649384615384615</v>
      </c>
      <c r="C15" s="21" t="n">
        <f aca="false">IFERROR(C7/C6,0)</f>
        <v>0.0640273037542662</v>
      </c>
      <c r="D15" s="22" t="n">
        <f aca="false">IFERROR(D7/D6,0)</f>
        <v>0.0645709040844424</v>
      </c>
    </row>
    <row r="16" customFormat="false" ht="15" hidden="false" customHeight="false" outlineLevel="0" collapsed="false">
      <c r="A16" s="16" t="s">
        <v>71</v>
      </c>
      <c r="B16" s="21" t="n">
        <f aca="false">IFERROR(B8/B6,0)</f>
        <v>0.0649384615384615</v>
      </c>
      <c r="C16" s="21" t="n">
        <f aca="false">IFERROR(C8/C6,0)</f>
        <v>0.0603526734926052</v>
      </c>
      <c r="D16" s="22" t="n">
        <f aca="false">IFERROR(D8/D6,0)</f>
        <v>0.0630885727397889</v>
      </c>
    </row>
    <row r="17" customFormat="false" ht="15" hidden="false" customHeight="false" outlineLevel="0" collapsed="false">
      <c r="A17" s="16" t="s">
        <v>72</v>
      </c>
      <c r="B17" s="21" t="n">
        <f aca="false">IFERROR((B8-B14)/B6,0)</f>
        <v>0.0473050576923077</v>
      </c>
      <c r="C17" s="21" t="n">
        <f aca="false">IFERROR((C8-C14)/C6,0)</f>
        <v>0.0450013822525597</v>
      </c>
      <c r="D17" s="22" t="n">
        <f aca="false">IFERROR((D8-D14)/D6,0)</f>
        <v>0.046375764111978</v>
      </c>
    </row>
    <row r="18" customFormat="false" ht="15" hidden="false" customHeight="false" outlineLevel="0" collapsed="false">
      <c r="A18" s="16" t="s">
        <v>73</v>
      </c>
      <c r="B18" s="19" t="n">
        <f aca="false">IFERROR(B13/B8,0)</f>
        <v>0.128227908078654</v>
      </c>
      <c r="C18" s="19" t="n">
        <f aca="false">IFERROR(C13/C8,0)</f>
        <v>0.0805843543826579</v>
      </c>
      <c r="D18" s="20" t="n">
        <f aca="false">IFERROR(D13/D8,0)</f>
        <v>0.10984214737761</v>
      </c>
    </row>
    <row r="19" customFormat="false" ht="15" hidden="false" customHeight="false" outlineLevel="0" collapsed="false">
      <c r="A19" s="16" t="s">
        <v>74</v>
      </c>
      <c r="B19" s="11" t="n">
        <f aca="false">SUMIFS(Mutui!$E$5:$E$8,Mutui!$A$5:$A$8,"IU")</f>
        <v>630000</v>
      </c>
      <c r="C19" s="11" t="n">
        <f aca="false">SUMIFS(Mutui!$E$5:$E$8,Mutui!$A$5:$A$8,"ID")</f>
        <v>250000</v>
      </c>
      <c r="D19" s="15" t="n">
        <f aca="false">SUM(B19:C19)</f>
        <v>880000</v>
      </c>
    </row>
    <row r="20" customFormat="false" ht="15" hidden="false" customHeight="false" outlineLevel="0" collapsed="false">
      <c r="A20" s="16" t="s">
        <v>75</v>
      </c>
      <c r="B20" s="11" t="n">
        <f aca="false">SUMIFS(Mutui!$K$5:$K$8,Mutui!$A$5:$A$8,"IU")</f>
        <v>24440.6703909714</v>
      </c>
      <c r="C20" s="11" t="n">
        <f aca="false">SUMIFS(Mutui!$K$5:$K$8,Mutui!$A$5:$A$8,"ID")</f>
        <v>8591.47810184517</v>
      </c>
      <c r="D20" s="15" t="n">
        <f aca="false">SUM(B20:C20)</f>
        <v>33032.1484928166</v>
      </c>
    </row>
    <row r="21" customFormat="false" ht="15" hidden="false" customHeight="false" outlineLevel="0" collapsed="false">
      <c r="A21" s="16" t="s">
        <v>76</v>
      </c>
      <c r="B21" s="19" t="n">
        <f aca="false">IFERROR(B19/B6,0)</f>
        <v>0.242307692307692</v>
      </c>
      <c r="C21" s="19" t="n">
        <f aca="false">IFERROR(C19/C6,0)</f>
        <v>0.142207053469852</v>
      </c>
      <c r="D21" s="20" t="n">
        <f aca="false">IFERROR(D19/D6,0)</f>
        <v>0.201927489674162</v>
      </c>
    </row>
    <row r="22" customFormat="false" ht="15" hidden="false" customHeight="false" outlineLevel="0" collapsed="false">
      <c r="A22" s="16" t="s">
        <v>77</v>
      </c>
      <c r="B22" s="21" t="n">
        <f aca="false">IFERROR((B8-B14-B20)/B6,0)</f>
        <v>0.0379047998496264</v>
      </c>
      <c r="C22" s="21" t="n">
        <f aca="false">IFERROR((C8-C14-C20)/C6,0)</f>
        <v>0.0401143071093031</v>
      </c>
      <c r="D22" s="22" t="n">
        <f aca="false">IFERROR((D8-D14-D20)/D6,0)</f>
        <v>0.038796106357775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"/>
    <col collapsed="false" customWidth="true" hidden="false" outlineLevel="0" max="14" min="12" style="0" width="14"/>
  </cols>
  <sheetData>
    <row r="1" customFormat="false" ht="19.7" hidden="false" customHeight="false" outlineLevel="0" collapsed="false">
      <c r="A1" s="1" t="s">
        <v>78</v>
      </c>
    </row>
    <row r="3" customFormat="false" ht="15" hidden="false" customHeight="false" outlineLevel="0" collapsed="false">
      <c r="A3" s="16" t="s">
        <v>79</v>
      </c>
      <c r="B3" s="23" t="s">
        <v>80</v>
      </c>
    </row>
    <row r="4" customFormat="false" ht="15" hidden="false" customHeight="false" outlineLevel="0" collapsed="false">
      <c r="A4" s="16" t="s">
        <v>81</v>
      </c>
      <c r="B4" s="24" t="n">
        <v>2027</v>
      </c>
    </row>
    <row r="6" customFormat="false" ht="31.5" hidden="false" customHeight="true" outlineLevel="0" collapsed="false">
      <c r="A6" s="6" t="s">
        <v>82</v>
      </c>
      <c r="B6" s="6" t="s">
        <v>83</v>
      </c>
      <c r="C6" s="6" t="s">
        <v>84</v>
      </c>
      <c r="D6" s="6" t="s">
        <v>85</v>
      </c>
      <c r="E6" s="6" t="s">
        <v>86</v>
      </c>
      <c r="F6" s="6" t="s">
        <v>87</v>
      </c>
      <c r="G6" s="6" t="s">
        <v>88</v>
      </c>
      <c r="I6" s="6" t="s">
        <v>89</v>
      </c>
      <c r="J6" s="6" t="s">
        <v>90</v>
      </c>
      <c r="L6" s="6" t="s">
        <v>91</v>
      </c>
      <c r="M6" s="6" t="s">
        <v>92</v>
      </c>
      <c r="N6" s="6" t="s">
        <v>93</v>
      </c>
    </row>
    <row r="7" customFormat="false" ht="15" hidden="false" customHeight="false" outlineLevel="0" collapsed="false">
      <c r="A7" s="24" t="s">
        <v>57</v>
      </c>
      <c r="B7" s="24" t="s">
        <v>94</v>
      </c>
      <c r="C7" s="25" t="n">
        <v>85000</v>
      </c>
      <c r="D7" s="25" t="n">
        <v>18000</v>
      </c>
      <c r="E7" s="25" t="n">
        <v>6200</v>
      </c>
      <c r="F7" s="25" t="n">
        <v>650</v>
      </c>
      <c r="G7" s="10" t="n">
        <f aca="false">IF(OR($B$3="Tutte",A7=$B$3),1,0)</f>
        <v>1</v>
      </c>
      <c r="I7" s="24" t="s">
        <v>95</v>
      </c>
      <c r="J7" s="24" t="n">
        <v>160</v>
      </c>
      <c r="L7" s="24" t="s">
        <v>96</v>
      </c>
      <c r="M7" s="26" t="n">
        <v>10.6</v>
      </c>
      <c r="N7" s="26" t="n">
        <v>10.6</v>
      </c>
    </row>
    <row r="8" customFormat="false" ht="15" hidden="false" customHeight="false" outlineLevel="0" collapsed="false">
      <c r="A8" s="24" t="s">
        <v>58</v>
      </c>
      <c r="B8" s="24" t="s">
        <v>97</v>
      </c>
      <c r="C8" s="25" t="n">
        <v>60000</v>
      </c>
      <c r="D8" s="25" t="n">
        <v>12000</v>
      </c>
      <c r="E8" s="25" t="n">
        <v>4800</v>
      </c>
      <c r="F8" s="25" t="n">
        <v>550</v>
      </c>
      <c r="G8" s="10" t="n">
        <f aca="false">IF(OR($B$3="Tutte",A8=$B$3),1,0)</f>
        <v>1</v>
      </c>
      <c r="I8" s="24" t="s">
        <v>98</v>
      </c>
      <c r="J8" s="24" t="n">
        <v>160</v>
      </c>
      <c r="L8" s="24" t="s">
        <v>99</v>
      </c>
      <c r="M8" s="26" t="n">
        <v>10.6</v>
      </c>
      <c r="N8" s="26" t="n">
        <v>10.6</v>
      </c>
    </row>
    <row r="9" customFormat="false" ht="15" hidden="false" customHeight="false" outlineLevel="0" collapsed="false">
      <c r="I9" s="24" t="s">
        <v>100</v>
      </c>
      <c r="J9" s="24" t="n">
        <v>160</v>
      </c>
      <c r="L9" s="24" t="s">
        <v>101</v>
      </c>
      <c r="M9" s="26" t="n">
        <v>10.6</v>
      </c>
      <c r="N9" s="26" t="n">
        <v>10.6</v>
      </c>
    </row>
    <row r="10" customFormat="false" ht="15" hidden="false" customHeight="false" outlineLevel="0" collapsed="false">
      <c r="I10" s="24" t="s">
        <v>102</v>
      </c>
      <c r="J10" s="24" t="n">
        <v>160</v>
      </c>
      <c r="L10" s="24" t="s">
        <v>103</v>
      </c>
      <c r="M10" s="26" t="n">
        <v>10.6</v>
      </c>
      <c r="N10" s="26" t="n">
        <v>10.6</v>
      </c>
    </row>
    <row r="11" customFormat="false" ht="15" hidden="false" customHeight="false" outlineLevel="0" collapsed="false">
      <c r="A11" s="16" t="s">
        <v>104</v>
      </c>
      <c r="B11" s="27" t="n">
        <v>0.03</v>
      </c>
      <c r="I11" s="24" t="s">
        <v>105</v>
      </c>
      <c r="J11" s="24" t="n">
        <v>160</v>
      </c>
      <c r="L11" s="24" t="s">
        <v>106</v>
      </c>
      <c r="M11" s="26" t="n">
        <v>10.4</v>
      </c>
      <c r="N11" s="26" t="n">
        <v>10.6</v>
      </c>
    </row>
    <row r="12" customFormat="false" ht="15" hidden="false" customHeight="false" outlineLevel="0" collapsed="false">
      <c r="A12" s="16" t="s">
        <v>107</v>
      </c>
      <c r="B12" s="27" t="n">
        <v>0.02</v>
      </c>
      <c r="I12" s="24" t="s">
        <v>108</v>
      </c>
      <c r="J12" s="24" t="n">
        <v>160</v>
      </c>
    </row>
    <row r="13" customFormat="false" ht="15" hidden="false" customHeight="false" outlineLevel="0" collapsed="false">
      <c r="A13" s="16" t="s">
        <v>109</v>
      </c>
      <c r="B13" s="24" t="n">
        <v>1</v>
      </c>
      <c r="I13" s="24" t="s">
        <v>110</v>
      </c>
      <c r="J13" s="24" t="n">
        <v>80</v>
      </c>
    </row>
    <row r="14" customFormat="false" ht="15" hidden="false" customHeight="false" outlineLevel="0" collapsed="false">
      <c r="A14" s="16" t="s">
        <v>111</v>
      </c>
      <c r="B14" s="27" t="n">
        <v>0.4</v>
      </c>
      <c r="I14" s="24" t="s">
        <v>112</v>
      </c>
      <c r="J14" s="24" t="n">
        <v>140</v>
      </c>
    </row>
    <row r="15" customFormat="false" ht="15" hidden="false" customHeight="false" outlineLevel="0" collapsed="false">
      <c r="A15" s="16" t="s">
        <v>113</v>
      </c>
      <c r="B15" s="27" t="n">
        <v>0.6</v>
      </c>
      <c r="I15" s="24" t="s">
        <v>114</v>
      </c>
      <c r="J15" s="24" t="n">
        <v>55</v>
      </c>
    </row>
    <row r="16" customFormat="false" ht="15" hidden="false" customHeight="false" outlineLevel="0" collapsed="false">
      <c r="A16" s="16" t="s">
        <v>115</v>
      </c>
      <c r="B16" s="27" t="n">
        <v>0.02</v>
      </c>
      <c r="I16" s="24" t="s">
        <v>116</v>
      </c>
      <c r="J16" s="24" t="n">
        <v>160</v>
      </c>
    </row>
    <row r="17" customFormat="false" ht="15" hidden="false" customHeight="false" outlineLevel="0" collapsed="false">
      <c r="A17" s="16" t="s">
        <v>117</v>
      </c>
      <c r="B17" s="27" t="n">
        <v>0.02</v>
      </c>
      <c r="I17" s="24" t="s">
        <v>118</v>
      </c>
      <c r="J17" s="24" t="n">
        <v>140</v>
      </c>
    </row>
    <row r="18" customFormat="false" ht="15" hidden="false" customHeight="false" outlineLevel="0" collapsed="false">
      <c r="A18" s="16" t="s">
        <v>119</v>
      </c>
      <c r="B18" s="28" t="n">
        <v>0.005</v>
      </c>
      <c r="I18" s="24" t="s">
        <v>120</v>
      </c>
      <c r="J18" s="24" t="n">
        <v>160</v>
      </c>
    </row>
    <row r="19" customFormat="false" ht="15" hidden="false" customHeight="false" outlineLevel="0" collapsed="false">
      <c r="I19" s="24" t="s">
        <v>121</v>
      </c>
      <c r="J19" s="24" t="n">
        <v>160</v>
      </c>
    </row>
    <row r="20" customFormat="false" ht="15" hidden="false" customHeight="false" outlineLevel="0" collapsed="false">
      <c r="I20" s="24" t="s">
        <v>122</v>
      </c>
      <c r="J20" s="24" t="n">
        <v>65</v>
      </c>
    </row>
    <row r="21" customFormat="false" ht="15" hidden="false" customHeight="false" outlineLevel="0" collapsed="false">
      <c r="I21" s="24" t="s">
        <v>123</v>
      </c>
      <c r="J21" s="24" t="n">
        <v>80</v>
      </c>
    </row>
    <row r="22" customFormat="false" ht="15" hidden="false" customHeight="false" outlineLevel="0" collapsed="false">
      <c r="I22" s="24" t="s">
        <v>124</v>
      </c>
      <c r="J22" s="24" t="n">
        <v>65</v>
      </c>
    </row>
    <row r="23" customFormat="false" ht="15" hidden="false" customHeight="false" outlineLevel="0" collapsed="false">
      <c r="I23" s="24" t="s">
        <v>125</v>
      </c>
      <c r="J23" s="24" t="n">
        <v>65</v>
      </c>
    </row>
  </sheetData>
  <dataValidations count="1">
    <dataValidation allowBlank="false" errorStyle="stop" operator="between" showDropDown="false" showErrorMessage="false" showInputMessage="false" sqref="B3" type="list">
      <formula1>"Tutte,IU,ID"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4" min="13" style="0" width="11"/>
    <col collapsed="false" customWidth="true" hidden="false" outlineLevel="0" max="15" min="15" style="0" width="8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8" style="0" width="13"/>
    <col collapsed="false" customWidth="true" hidden="false" outlineLevel="0" max="20" min="20" style="0" width="12"/>
    <col collapsed="false" customWidth="true" hidden="false" outlineLevel="0" max="22" min="21" style="0" width="11"/>
    <col collapsed="false" customWidth="true" hidden="false" outlineLevel="0" max="24" min="23" style="0" width="12"/>
    <col collapsed="false" customWidth="true" hidden="false" outlineLevel="0" max="27" min="25" style="0" width="10"/>
    <col collapsed="false" customWidth="true" hidden="false" outlineLevel="0" max="28" min="28" style="0" width="11"/>
    <col collapsed="false" customWidth="true" hidden="false" outlineLevel="0" max="29" min="29" style="0" width="7"/>
  </cols>
  <sheetData>
    <row r="1" customFormat="false" ht="19.7" hidden="false" customHeight="false" outlineLevel="0" collapsed="false">
      <c r="A1" s="1" t="s">
        <v>126</v>
      </c>
    </row>
    <row r="2" customFormat="false" ht="15" hidden="false" customHeight="false" outlineLevel="0" collapsed="false">
      <c r="A2" s="5" t="s">
        <v>127</v>
      </c>
    </row>
    <row r="4" customFormat="false" ht="31.5" hidden="false" customHeight="true" outlineLevel="0" collapsed="false">
      <c r="A4" s="6" t="s">
        <v>82</v>
      </c>
      <c r="B4" s="6" t="s">
        <v>128</v>
      </c>
      <c r="C4" s="6" t="s">
        <v>129</v>
      </c>
      <c r="D4" s="6" t="s">
        <v>91</v>
      </c>
      <c r="E4" s="6" t="s">
        <v>130</v>
      </c>
      <c r="F4" s="6" t="s">
        <v>131</v>
      </c>
      <c r="G4" s="6" t="s">
        <v>132</v>
      </c>
      <c r="H4" s="6" t="s">
        <v>133</v>
      </c>
      <c r="I4" s="6" t="s">
        <v>134</v>
      </c>
      <c r="J4" s="6" t="s">
        <v>135</v>
      </c>
      <c r="K4" s="6" t="s">
        <v>136</v>
      </c>
      <c r="L4" s="6" t="s">
        <v>137</v>
      </c>
      <c r="M4" s="6" t="s">
        <v>138</v>
      </c>
      <c r="N4" s="6" t="s">
        <v>139</v>
      </c>
      <c r="O4" s="6" t="s">
        <v>140</v>
      </c>
      <c r="P4" s="6" t="s">
        <v>141</v>
      </c>
      <c r="Q4" s="6" t="s">
        <v>142</v>
      </c>
      <c r="R4" s="6" t="s">
        <v>143</v>
      </c>
      <c r="S4" s="6" t="s">
        <v>144</v>
      </c>
      <c r="T4" s="6" t="s">
        <v>145</v>
      </c>
      <c r="U4" s="6" t="s">
        <v>66</v>
      </c>
      <c r="V4" s="6" t="s">
        <v>146</v>
      </c>
      <c r="W4" s="6" t="s">
        <v>147</v>
      </c>
      <c r="X4" s="6" t="s">
        <v>148</v>
      </c>
      <c r="Y4" s="6" t="s">
        <v>149</v>
      </c>
      <c r="Z4" s="6" t="s">
        <v>150</v>
      </c>
      <c r="AA4" s="6" t="s">
        <v>151</v>
      </c>
      <c r="AB4" s="6" t="s">
        <v>152</v>
      </c>
      <c r="AC4" s="6" t="s">
        <v>88</v>
      </c>
    </row>
    <row r="5" customFormat="false" ht="15" hidden="false" customHeight="false" outlineLevel="0" collapsed="false">
      <c r="A5" s="24" t="s">
        <v>153</v>
      </c>
      <c r="B5" s="24" t="s">
        <v>57</v>
      </c>
      <c r="C5" s="24" t="s">
        <v>154</v>
      </c>
      <c r="D5" s="24" t="s">
        <v>96</v>
      </c>
      <c r="E5" s="24" t="s">
        <v>155</v>
      </c>
      <c r="F5" s="24" t="s">
        <v>110</v>
      </c>
      <c r="G5" s="29" t="n">
        <v>2450</v>
      </c>
      <c r="H5" s="25" t="n">
        <v>420000</v>
      </c>
      <c r="I5" s="25" t="n">
        <v>2300</v>
      </c>
      <c r="J5" s="24" t="s">
        <v>156</v>
      </c>
      <c r="K5" s="24" t="n">
        <v>3</v>
      </c>
      <c r="L5" s="27" t="n">
        <v>0.01</v>
      </c>
      <c r="M5" s="25" t="n">
        <v>180</v>
      </c>
      <c r="N5" s="25" t="n">
        <v>600</v>
      </c>
      <c r="O5" s="23" t="s">
        <v>157</v>
      </c>
      <c r="P5" s="10" t="n">
        <f aca="false">SUM(Occupazione!C5:N5)</f>
        <v>12</v>
      </c>
      <c r="Q5" s="10" t="n">
        <f aca="false">SUM(Occupazione!C5:H5)</f>
        <v>6</v>
      </c>
      <c r="R5" s="11" t="n">
        <f aca="false">I5*P5</f>
        <v>27600</v>
      </c>
      <c r="S5" s="11" t="n">
        <f aca="false">G5*1.05*VLOOKUP(F5,Parametri!$I$7:$J$23,2,0)</f>
        <v>205800</v>
      </c>
      <c r="T5" s="30" t="n">
        <f aca="false">ROUND(S5*VLOOKUP(D5,Parametri!$L$7:$N$11,2,0)/1000*IF(O5="Sì",Q5,6)/12,2)</f>
        <v>1090.74</v>
      </c>
      <c r="U5" s="30" t="n">
        <f aca="false">ROUND(S5*VLOOKUP(D5,Parametri!$L$7:$N$11,3,0)/1000*IF(O5="Sì",P5,12)/12,2)</f>
        <v>2181.48</v>
      </c>
      <c r="V5" s="11" t="n">
        <f aca="false">IF(P5&gt;0,I5*12*L5,0)</f>
        <v>276</v>
      </c>
      <c r="W5" s="11" t="n">
        <f aca="false">-SUMIFS(Straordinari!$F$5:$F$64,Straordinari!$C$5:$C$64,A5,Straordinari!$D$5:$D$64,"Manutenzione straordinaria")</f>
        <v>-0</v>
      </c>
      <c r="X5" s="11" t="n">
        <f aca="false">U5+V5+M5*12+N5+W5</f>
        <v>5217.48</v>
      </c>
      <c r="Y5" s="21" t="n">
        <f aca="false">IFERROR(I5*12/H5,0)</f>
        <v>0.0657142857142857</v>
      </c>
      <c r="Z5" s="21" t="n">
        <f aca="false">IFERROR(R5/H5,0)</f>
        <v>0.0657142857142857</v>
      </c>
      <c r="AA5" s="21" t="n">
        <f aca="false">IFERROR((R5-X5)/H5,0)</f>
        <v>0.0532917142857143</v>
      </c>
      <c r="AB5" s="19" t="n">
        <f aca="false">IFERROR(X5/R5,0)</f>
        <v>0.189039130434783</v>
      </c>
      <c r="AC5" s="10" t="n">
        <f aca="false">IF(OR(Parametri!$B$3="Tutte",B5=Parametri!$B$3),1,0)</f>
        <v>1</v>
      </c>
    </row>
    <row r="6" customFormat="false" ht="15" hidden="false" customHeight="false" outlineLevel="0" collapsed="false">
      <c r="A6" s="24" t="s">
        <v>158</v>
      </c>
      <c r="B6" s="24" t="s">
        <v>57</v>
      </c>
      <c r="C6" s="24" t="s">
        <v>159</v>
      </c>
      <c r="D6" s="24" t="s">
        <v>96</v>
      </c>
      <c r="E6" s="24" t="s">
        <v>155</v>
      </c>
      <c r="F6" s="24" t="s">
        <v>114</v>
      </c>
      <c r="G6" s="29" t="n">
        <v>3900</v>
      </c>
      <c r="H6" s="25" t="n">
        <v>580000</v>
      </c>
      <c r="I6" s="25" t="n">
        <v>3800</v>
      </c>
      <c r="J6" s="24" t="s">
        <v>160</v>
      </c>
      <c r="K6" s="24" t="n">
        <v>9</v>
      </c>
      <c r="L6" s="27" t="n">
        <v>0.01</v>
      </c>
      <c r="M6" s="25" t="n">
        <v>120</v>
      </c>
      <c r="N6" s="25" t="n">
        <v>900</v>
      </c>
      <c r="O6" s="23" t="s">
        <v>157</v>
      </c>
      <c r="P6" s="10" t="n">
        <f aca="false">SUM(Occupazione!C6:N6)</f>
        <v>12</v>
      </c>
      <c r="Q6" s="10" t="n">
        <f aca="false">SUM(Occupazione!C6:H6)</f>
        <v>6</v>
      </c>
      <c r="R6" s="11" t="n">
        <f aca="false">I6*P6</f>
        <v>45600</v>
      </c>
      <c r="S6" s="11" t="n">
        <f aca="false">G6*1.05*VLOOKUP(F6,Parametri!$I$7:$J$23,2,0)</f>
        <v>225225</v>
      </c>
      <c r="T6" s="30" t="n">
        <f aca="false">ROUND(S6*VLOOKUP(D6,Parametri!$L$7:$N$11,2,0)/1000*IF(O6="Sì",Q6,6)/12,2)</f>
        <v>1193.69</v>
      </c>
      <c r="U6" s="30" t="n">
        <f aca="false">ROUND(S6*VLOOKUP(D6,Parametri!$L$7:$N$11,3,0)/1000*IF(O6="Sì",P6,12)/12,2)</f>
        <v>2387.39</v>
      </c>
      <c r="V6" s="11" t="n">
        <f aca="false">IF(P6&gt;0,I6*12*L6,0)</f>
        <v>456</v>
      </c>
      <c r="W6" s="11" t="n">
        <f aca="false">-SUMIFS(Straordinari!$F$5:$F$64,Straordinari!$C$5:$C$64,A6,Straordinari!$D$5:$D$64,"Manutenzione straordinaria")</f>
        <v>4200</v>
      </c>
      <c r="X6" s="11" t="n">
        <f aca="false">U6+V6+M6*12+N6+W6</f>
        <v>9383.39</v>
      </c>
      <c r="Y6" s="21" t="n">
        <f aca="false">IFERROR(I6*12/H6,0)</f>
        <v>0.0786206896551724</v>
      </c>
      <c r="Z6" s="21" t="n">
        <f aca="false">IFERROR(R6/H6,0)</f>
        <v>0.0786206896551724</v>
      </c>
      <c r="AA6" s="21" t="n">
        <f aca="false">IFERROR((R6-X6)/H6,0)</f>
        <v>0.0624424310344828</v>
      </c>
      <c r="AB6" s="19" t="n">
        <f aca="false">IFERROR(X6/R6,0)</f>
        <v>0.205776096491228</v>
      </c>
      <c r="AC6" s="10" t="n">
        <f aca="false">IF(OR(Parametri!$B$3="Tutte",B6=Parametri!$B$3),1,0)</f>
        <v>1</v>
      </c>
    </row>
    <row r="7" customFormat="false" ht="15" hidden="false" customHeight="false" outlineLevel="0" collapsed="false">
      <c r="A7" s="24" t="s">
        <v>161</v>
      </c>
      <c r="B7" s="24" t="s">
        <v>57</v>
      </c>
      <c r="C7" s="24" t="s">
        <v>162</v>
      </c>
      <c r="D7" s="24" t="s">
        <v>96</v>
      </c>
      <c r="E7" s="24" t="s">
        <v>163</v>
      </c>
      <c r="F7" s="24" t="s">
        <v>98</v>
      </c>
      <c r="G7" s="29" t="n">
        <v>1280</v>
      </c>
      <c r="H7" s="25" t="n">
        <v>390000</v>
      </c>
      <c r="I7" s="25" t="n">
        <v>1450</v>
      </c>
      <c r="J7" s="24" t="s">
        <v>164</v>
      </c>
      <c r="K7" s="24" t="n">
        <v>5</v>
      </c>
      <c r="L7" s="27" t="n">
        <v>0.02</v>
      </c>
      <c r="M7" s="25" t="n">
        <v>160</v>
      </c>
      <c r="N7" s="25" t="n">
        <v>500</v>
      </c>
      <c r="O7" s="23" t="s">
        <v>157</v>
      </c>
      <c r="P7" s="10" t="n">
        <f aca="false">SUM(Occupazione!C7:N7)</f>
        <v>12</v>
      </c>
      <c r="Q7" s="10" t="n">
        <f aca="false">SUM(Occupazione!C7:H7)</f>
        <v>6</v>
      </c>
      <c r="R7" s="11" t="n">
        <f aca="false">I7*P7</f>
        <v>17400</v>
      </c>
      <c r="S7" s="11" t="n">
        <f aca="false">G7*1.05*VLOOKUP(F7,Parametri!$I$7:$J$23,2,0)</f>
        <v>215040</v>
      </c>
      <c r="T7" s="30" t="n">
        <f aca="false">ROUND(S7*VLOOKUP(D7,Parametri!$L$7:$N$11,2,0)/1000*IF(O7="Sì",Q7,6)/12,2)</f>
        <v>1139.71</v>
      </c>
      <c r="U7" s="30" t="n">
        <f aca="false">ROUND(S7*VLOOKUP(D7,Parametri!$L$7:$N$11,3,0)/1000*IF(O7="Sì",P7,12)/12,2)</f>
        <v>2279.42</v>
      </c>
      <c r="V7" s="11" t="n">
        <f aca="false">IF(P7&gt;0,I7*12*L7,0)</f>
        <v>348</v>
      </c>
      <c r="W7" s="11" t="n">
        <f aca="false">-SUMIFS(Straordinari!$F$5:$F$64,Straordinari!$C$5:$C$64,A7,Straordinari!$D$5:$D$64,"Manutenzione straordinaria")</f>
        <v>-0</v>
      </c>
      <c r="X7" s="11" t="n">
        <f aca="false">U7+V7+M7*12+N7+W7</f>
        <v>5047.42</v>
      </c>
      <c r="Y7" s="21" t="n">
        <f aca="false">IFERROR(I7*12/H7,0)</f>
        <v>0.0446153846153846</v>
      </c>
      <c r="Z7" s="21" t="n">
        <f aca="false">IFERROR(R7/H7,0)</f>
        <v>0.0446153846153846</v>
      </c>
      <c r="AA7" s="21" t="n">
        <f aca="false">IFERROR((R7-X7)/H7,0)</f>
        <v>0.0316732820512821</v>
      </c>
      <c r="AB7" s="19" t="n">
        <f aca="false">IFERROR(X7/R7,0)</f>
        <v>0.290081609195402</v>
      </c>
      <c r="AC7" s="10" t="n">
        <f aca="false">IF(OR(Parametri!$B$3="Tutte",B7=Parametri!$B$3),1,0)</f>
        <v>1</v>
      </c>
    </row>
    <row r="8" customFormat="false" ht="15" hidden="false" customHeight="false" outlineLevel="0" collapsed="false">
      <c r="A8" s="24" t="s">
        <v>165</v>
      </c>
      <c r="B8" s="24" t="s">
        <v>57</v>
      </c>
      <c r="C8" s="24" t="s">
        <v>166</v>
      </c>
      <c r="D8" s="24" t="s">
        <v>99</v>
      </c>
      <c r="E8" s="24" t="s">
        <v>163</v>
      </c>
      <c r="F8" s="24" t="s">
        <v>100</v>
      </c>
      <c r="G8" s="29" t="n">
        <v>780</v>
      </c>
      <c r="H8" s="25" t="n">
        <v>230000</v>
      </c>
      <c r="I8" s="25" t="n">
        <v>900</v>
      </c>
      <c r="J8" s="24" t="s">
        <v>167</v>
      </c>
      <c r="K8" s="24" t="n">
        <v>11</v>
      </c>
      <c r="L8" s="27" t="n">
        <v>0.02</v>
      </c>
      <c r="M8" s="25" t="n">
        <v>90</v>
      </c>
      <c r="N8" s="25" t="n">
        <v>400</v>
      </c>
      <c r="O8" s="23" t="s">
        <v>157</v>
      </c>
      <c r="P8" s="10" t="n">
        <f aca="false">SUM(Occupazione!C8:N8)</f>
        <v>12</v>
      </c>
      <c r="Q8" s="10" t="n">
        <f aca="false">SUM(Occupazione!C8:H8)</f>
        <v>6</v>
      </c>
      <c r="R8" s="11" t="n">
        <f aca="false">I8*P8</f>
        <v>10800</v>
      </c>
      <c r="S8" s="11" t="n">
        <f aca="false">G8*1.05*VLOOKUP(F8,Parametri!$I$7:$J$23,2,0)</f>
        <v>131040</v>
      </c>
      <c r="T8" s="30" t="n">
        <f aca="false">ROUND(S8*VLOOKUP(D8,Parametri!$L$7:$N$11,2,0)/1000*IF(O8="Sì",Q8,6)/12,2)</f>
        <v>694.51</v>
      </c>
      <c r="U8" s="30" t="n">
        <f aca="false">ROUND(S8*VLOOKUP(D8,Parametri!$L$7:$N$11,3,0)/1000*IF(O8="Sì",P8,12)/12,2)</f>
        <v>1389.02</v>
      </c>
      <c r="V8" s="11" t="n">
        <f aca="false">IF(P8&gt;0,I8*12*L8,0)</f>
        <v>216</v>
      </c>
      <c r="W8" s="11" t="n">
        <f aca="false">-SUMIFS(Straordinari!$F$5:$F$64,Straordinari!$C$5:$C$64,A8,Straordinari!$D$5:$D$64,"Manutenzione straordinaria")</f>
        <v>-0</v>
      </c>
      <c r="X8" s="11" t="n">
        <f aca="false">U8+V8+M8*12+N8+W8</f>
        <v>3085.02</v>
      </c>
      <c r="Y8" s="21" t="n">
        <f aca="false">IFERROR(I8*12/H8,0)</f>
        <v>0.0469565217391304</v>
      </c>
      <c r="Z8" s="21" t="n">
        <f aca="false">IFERROR(R8/H8,0)</f>
        <v>0.0469565217391304</v>
      </c>
      <c r="AA8" s="21" t="n">
        <f aca="false">IFERROR((R8-X8)/H8,0)</f>
        <v>0.0335433913043478</v>
      </c>
      <c r="AB8" s="19" t="n">
        <f aca="false">IFERROR(X8/R8,0)</f>
        <v>0.28565</v>
      </c>
      <c r="AC8" s="10" t="n">
        <f aca="false">IF(OR(Parametri!$B$3="Tutte",B8=Parametri!$B$3),1,0)</f>
        <v>1</v>
      </c>
    </row>
    <row r="9" customFormat="false" ht="15" hidden="false" customHeight="false" outlineLevel="0" collapsed="false">
      <c r="A9" s="24" t="s">
        <v>168</v>
      </c>
      <c r="B9" s="24" t="s">
        <v>57</v>
      </c>
      <c r="C9" s="24" t="s">
        <v>169</v>
      </c>
      <c r="D9" s="24" t="s">
        <v>99</v>
      </c>
      <c r="E9" s="24" t="s">
        <v>170</v>
      </c>
      <c r="F9" s="24" t="s">
        <v>120</v>
      </c>
      <c r="G9" s="29" t="n">
        <v>160</v>
      </c>
      <c r="H9" s="25" t="n">
        <v>30000</v>
      </c>
      <c r="I9" s="25" t="n">
        <v>120</v>
      </c>
      <c r="J9" s="24" t="s">
        <v>167</v>
      </c>
      <c r="K9" s="24" t="n">
        <v>11</v>
      </c>
      <c r="L9" s="27" t="n">
        <v>0.02</v>
      </c>
      <c r="M9" s="25" t="n">
        <v>0</v>
      </c>
      <c r="N9" s="25" t="n">
        <v>50</v>
      </c>
      <c r="O9" s="23" t="s">
        <v>157</v>
      </c>
      <c r="P9" s="10" t="n">
        <f aca="false">SUM(Occupazione!C9:N9)</f>
        <v>12</v>
      </c>
      <c r="Q9" s="10" t="n">
        <f aca="false">SUM(Occupazione!C9:H9)</f>
        <v>6</v>
      </c>
      <c r="R9" s="11" t="n">
        <f aca="false">I9*P9</f>
        <v>1440</v>
      </c>
      <c r="S9" s="11" t="n">
        <f aca="false">G9*1.05*VLOOKUP(F9,Parametri!$I$7:$J$23,2,0)</f>
        <v>26880</v>
      </c>
      <c r="T9" s="30" t="n">
        <f aca="false">ROUND(S9*VLOOKUP(D9,Parametri!$L$7:$N$11,2,0)/1000*IF(O9="Sì",Q9,6)/12,2)</f>
        <v>142.46</v>
      </c>
      <c r="U9" s="30" t="n">
        <f aca="false">ROUND(S9*VLOOKUP(D9,Parametri!$L$7:$N$11,3,0)/1000*IF(O9="Sì",P9,12)/12,2)</f>
        <v>284.93</v>
      </c>
      <c r="V9" s="11" t="n">
        <f aca="false">IF(P9&gt;0,I9*12*L9,0)</f>
        <v>28.8</v>
      </c>
      <c r="W9" s="11" t="n">
        <f aca="false">-SUMIFS(Straordinari!$F$5:$F$64,Straordinari!$C$5:$C$64,A9,Straordinari!$D$5:$D$64,"Manutenzione straordinaria")</f>
        <v>-0</v>
      </c>
      <c r="X9" s="11" t="n">
        <f aca="false">U9+V9+M9*12+N9+W9</f>
        <v>363.73</v>
      </c>
      <c r="Y9" s="21" t="n">
        <f aca="false">IFERROR(I9*12/H9,0)</f>
        <v>0.048</v>
      </c>
      <c r="Z9" s="21" t="n">
        <f aca="false">IFERROR(R9/H9,0)</f>
        <v>0.048</v>
      </c>
      <c r="AA9" s="21" t="n">
        <f aca="false">IFERROR((R9-X9)/H9,0)</f>
        <v>0.0358756666666667</v>
      </c>
      <c r="AB9" s="19" t="n">
        <f aca="false">IFERROR(X9/R9,0)</f>
        <v>0.252590277777778</v>
      </c>
      <c r="AC9" s="10" t="n">
        <f aca="false">IF(OR(Parametri!$B$3="Tutte",B9=Parametri!$B$3),1,0)</f>
        <v>1</v>
      </c>
    </row>
    <row r="10" customFormat="false" ht="15" hidden="false" customHeight="false" outlineLevel="0" collapsed="false">
      <c r="A10" s="24" t="s">
        <v>171</v>
      </c>
      <c r="B10" s="24" t="s">
        <v>57</v>
      </c>
      <c r="C10" s="24" t="s">
        <v>172</v>
      </c>
      <c r="D10" s="24" t="s">
        <v>101</v>
      </c>
      <c r="E10" s="24" t="s">
        <v>155</v>
      </c>
      <c r="F10" s="24" t="s">
        <v>124</v>
      </c>
      <c r="G10" s="29" t="n">
        <v>9800</v>
      </c>
      <c r="H10" s="25" t="n">
        <v>950000</v>
      </c>
      <c r="I10" s="25" t="n">
        <v>5500</v>
      </c>
      <c r="J10" s="24" t="s">
        <v>173</v>
      </c>
      <c r="K10" s="24" t="n">
        <v>1</v>
      </c>
      <c r="L10" s="27" t="n">
        <v>0.01</v>
      </c>
      <c r="M10" s="25" t="n">
        <v>0</v>
      </c>
      <c r="N10" s="25" t="n">
        <v>2500</v>
      </c>
      <c r="O10" s="23" t="s">
        <v>174</v>
      </c>
      <c r="P10" s="10" t="n">
        <f aca="false">SUM(Occupazione!C10:N10)</f>
        <v>12</v>
      </c>
      <c r="Q10" s="10" t="n">
        <f aca="false">SUM(Occupazione!C10:H10)</f>
        <v>6</v>
      </c>
      <c r="R10" s="11" t="n">
        <f aca="false">I10*P10</f>
        <v>66000</v>
      </c>
      <c r="S10" s="11" t="n">
        <f aca="false">G10*1.05*VLOOKUP(F10,Parametri!$I$7:$J$23,2,0)</f>
        <v>668850</v>
      </c>
      <c r="T10" s="30" t="n">
        <f aca="false">ROUND(S10*VLOOKUP(D10,Parametri!$L$7:$N$11,2,0)/1000*IF(O10="Sì",Q10,6)/12,2)</f>
        <v>3544.91</v>
      </c>
      <c r="U10" s="30" t="n">
        <f aca="false">ROUND(S10*VLOOKUP(D10,Parametri!$L$7:$N$11,3,0)/1000*IF(O10="Sì",P10,12)/12,2)</f>
        <v>7089.81</v>
      </c>
      <c r="V10" s="11" t="n">
        <f aca="false">IF(P10&gt;0,I10*12*L10,0)</f>
        <v>660</v>
      </c>
      <c r="W10" s="11" t="n">
        <f aca="false">-SUMIFS(Straordinari!$F$5:$F$64,Straordinari!$C$5:$C$64,A10,Straordinari!$D$5:$D$64,"Manutenzione straordinaria")</f>
        <v>12500</v>
      </c>
      <c r="X10" s="11" t="n">
        <f aca="false">U10+V10+M10*12+N10+W10</f>
        <v>22749.81</v>
      </c>
      <c r="Y10" s="21" t="n">
        <f aca="false">IFERROR(I10*12/H10,0)</f>
        <v>0.0694736842105263</v>
      </c>
      <c r="Z10" s="21" t="n">
        <f aca="false">IFERROR(R10/H10,0)</f>
        <v>0.0694736842105263</v>
      </c>
      <c r="AA10" s="21" t="n">
        <f aca="false">IFERROR((R10-X10)/H10,0)</f>
        <v>0.0455265157894737</v>
      </c>
      <c r="AB10" s="19" t="n">
        <f aca="false">IFERROR(X10/R10,0)</f>
        <v>0.344694090909091</v>
      </c>
      <c r="AC10" s="10" t="n">
        <f aca="false">IF(OR(Parametri!$B$3="Tutte",B10=Parametri!$B$3),1,0)</f>
        <v>1</v>
      </c>
    </row>
    <row r="11" customFormat="false" ht="15" hidden="false" customHeight="false" outlineLevel="0" collapsed="false">
      <c r="A11" s="24" t="s">
        <v>175</v>
      </c>
      <c r="B11" s="24" t="s">
        <v>58</v>
      </c>
      <c r="C11" s="24" t="s">
        <v>176</v>
      </c>
      <c r="D11" s="24" t="s">
        <v>103</v>
      </c>
      <c r="E11" s="24" t="s">
        <v>163</v>
      </c>
      <c r="F11" s="24" t="s">
        <v>98</v>
      </c>
      <c r="G11" s="29" t="n">
        <v>1050</v>
      </c>
      <c r="H11" s="25" t="n">
        <v>260000</v>
      </c>
      <c r="I11" s="25" t="n">
        <v>1000</v>
      </c>
      <c r="J11" s="24" t="s">
        <v>177</v>
      </c>
      <c r="K11" s="24" t="n">
        <v>6</v>
      </c>
      <c r="L11" s="27" t="n">
        <v>0.02</v>
      </c>
      <c r="M11" s="25" t="n">
        <v>110</v>
      </c>
      <c r="N11" s="25" t="n">
        <v>450</v>
      </c>
      <c r="O11" s="23" t="s">
        <v>157</v>
      </c>
      <c r="P11" s="10" t="n">
        <f aca="false">SUM(Occupazione!C11:N11)</f>
        <v>12</v>
      </c>
      <c r="Q11" s="10" t="n">
        <f aca="false">SUM(Occupazione!C11:H11)</f>
        <v>6</v>
      </c>
      <c r="R11" s="11" t="n">
        <f aca="false">I11*P11</f>
        <v>12000</v>
      </c>
      <c r="S11" s="11" t="n">
        <f aca="false">G11*1.05*VLOOKUP(F11,Parametri!$I$7:$J$23,2,0)</f>
        <v>176400</v>
      </c>
      <c r="T11" s="30" t="n">
        <f aca="false">ROUND(S11*VLOOKUP(D11,Parametri!$L$7:$N$11,2,0)/1000*IF(O11="Sì",Q11,6)/12,2)</f>
        <v>934.92</v>
      </c>
      <c r="U11" s="30" t="n">
        <f aca="false">ROUND(S11*VLOOKUP(D11,Parametri!$L$7:$N$11,3,0)/1000*IF(O11="Sì",P11,12)/12,2)</f>
        <v>1869.84</v>
      </c>
      <c r="V11" s="11" t="n">
        <f aca="false">IF(P11&gt;0,I11*12*L11,0)</f>
        <v>240</v>
      </c>
      <c r="W11" s="11" t="n">
        <f aca="false">-SUMIFS(Straordinari!$F$5:$F$64,Straordinari!$C$5:$C$64,A11,Straordinari!$D$5:$D$64,"Manutenzione straordinaria")</f>
        <v>-0</v>
      </c>
      <c r="X11" s="11" t="n">
        <f aca="false">U11+V11+M11*12+N11+W11</f>
        <v>3879.84</v>
      </c>
      <c r="Y11" s="21" t="n">
        <f aca="false">IFERROR(I11*12/H11,0)</f>
        <v>0.0461538461538462</v>
      </c>
      <c r="Z11" s="21" t="n">
        <f aca="false">IFERROR(R11/H11,0)</f>
        <v>0.0461538461538462</v>
      </c>
      <c r="AA11" s="21" t="n">
        <f aca="false">IFERROR((R11-X11)/H11,0)</f>
        <v>0.0312313846153846</v>
      </c>
      <c r="AB11" s="19" t="n">
        <f aca="false">IFERROR(X11/R11,0)</f>
        <v>0.32332</v>
      </c>
      <c r="AC11" s="10" t="n">
        <f aca="false">IF(OR(Parametri!$B$3="Tutte",B11=Parametri!$B$3),1,0)</f>
        <v>1</v>
      </c>
    </row>
    <row r="12" customFormat="false" ht="15" hidden="false" customHeight="false" outlineLevel="0" collapsed="false">
      <c r="A12" s="24" t="s">
        <v>178</v>
      </c>
      <c r="B12" s="24" t="s">
        <v>58</v>
      </c>
      <c r="C12" s="24" t="s">
        <v>179</v>
      </c>
      <c r="D12" s="24" t="s">
        <v>103</v>
      </c>
      <c r="E12" s="24" t="s">
        <v>155</v>
      </c>
      <c r="F12" s="24" t="s">
        <v>110</v>
      </c>
      <c r="G12" s="29" t="n">
        <v>1900</v>
      </c>
      <c r="H12" s="25" t="n">
        <v>300000</v>
      </c>
      <c r="I12" s="25" t="n">
        <v>1700</v>
      </c>
      <c r="J12" s="24" t="s">
        <v>180</v>
      </c>
      <c r="K12" s="24" t="n">
        <v>4</v>
      </c>
      <c r="L12" s="27" t="n">
        <v>0.01</v>
      </c>
      <c r="M12" s="25" t="n">
        <v>140</v>
      </c>
      <c r="N12" s="25" t="n">
        <v>500</v>
      </c>
      <c r="O12" s="23" t="s">
        <v>157</v>
      </c>
      <c r="P12" s="10" t="n">
        <f aca="false">SUM(Occupazione!C12:N12)</f>
        <v>12</v>
      </c>
      <c r="Q12" s="10" t="n">
        <f aca="false">SUM(Occupazione!C12:H12)</f>
        <v>6</v>
      </c>
      <c r="R12" s="11" t="n">
        <f aca="false">I12*P12</f>
        <v>20400</v>
      </c>
      <c r="S12" s="11" t="n">
        <f aca="false">G12*1.05*VLOOKUP(F12,Parametri!$I$7:$J$23,2,0)</f>
        <v>159600</v>
      </c>
      <c r="T12" s="30" t="n">
        <f aca="false">ROUND(S12*VLOOKUP(D12,Parametri!$L$7:$N$11,2,0)/1000*IF(O12="Sì",Q12,6)/12,2)</f>
        <v>845.88</v>
      </c>
      <c r="U12" s="30" t="n">
        <f aca="false">ROUND(S12*VLOOKUP(D12,Parametri!$L$7:$N$11,3,0)/1000*IF(O12="Sì",P12,12)/12,2)</f>
        <v>1691.76</v>
      </c>
      <c r="V12" s="11" t="n">
        <f aca="false">IF(P12&gt;0,I12*12*L12,0)</f>
        <v>204</v>
      </c>
      <c r="W12" s="11" t="n">
        <f aca="false">-SUMIFS(Straordinari!$F$5:$F$64,Straordinari!$C$5:$C$64,A12,Straordinari!$D$5:$D$64,"Manutenzione straordinaria")</f>
        <v>1100</v>
      </c>
      <c r="X12" s="11" t="n">
        <f aca="false">U12+V12+M12*12+N12+W12</f>
        <v>5175.76</v>
      </c>
      <c r="Y12" s="21" t="n">
        <f aca="false">IFERROR(I12*12/H12,0)</f>
        <v>0.068</v>
      </c>
      <c r="Z12" s="21" t="n">
        <f aca="false">IFERROR(R12/H12,0)</f>
        <v>0.068</v>
      </c>
      <c r="AA12" s="21" t="n">
        <f aca="false">IFERROR((R12-X12)/H12,0)</f>
        <v>0.0507474666666667</v>
      </c>
      <c r="AB12" s="19" t="n">
        <f aca="false">IFERROR(X12/R12,0)</f>
        <v>0.253713725490196</v>
      </c>
      <c r="AC12" s="10" t="n">
        <f aca="false">IF(OR(Parametri!$B$3="Tutte",B12=Parametri!$B$3),1,0)</f>
        <v>1</v>
      </c>
    </row>
    <row r="13" customFormat="false" ht="15" hidden="false" customHeight="false" outlineLevel="0" collapsed="false">
      <c r="A13" s="24" t="s">
        <v>181</v>
      </c>
      <c r="B13" s="24" t="s">
        <v>58</v>
      </c>
      <c r="C13" s="24" t="s">
        <v>182</v>
      </c>
      <c r="D13" s="24" t="s">
        <v>106</v>
      </c>
      <c r="E13" s="24" t="s">
        <v>155</v>
      </c>
      <c r="F13" s="24" t="s">
        <v>114</v>
      </c>
      <c r="G13" s="29" t="n">
        <v>2700</v>
      </c>
      <c r="H13" s="25" t="n">
        <v>410000</v>
      </c>
      <c r="I13" s="25" t="n">
        <v>2600</v>
      </c>
      <c r="J13" s="24" t="s">
        <v>183</v>
      </c>
      <c r="K13" s="24" t="n">
        <v>2</v>
      </c>
      <c r="L13" s="27" t="n">
        <v>0.01</v>
      </c>
      <c r="M13" s="25" t="n">
        <v>100</v>
      </c>
      <c r="N13" s="25" t="n">
        <v>700</v>
      </c>
      <c r="O13" s="23" t="s">
        <v>157</v>
      </c>
      <c r="P13" s="10" t="n">
        <f aca="false">SUM(Occupazione!C13:N13)</f>
        <v>12</v>
      </c>
      <c r="Q13" s="10" t="n">
        <f aca="false">SUM(Occupazione!C13:H13)</f>
        <v>6</v>
      </c>
      <c r="R13" s="11" t="n">
        <f aca="false">I13*P13</f>
        <v>31200</v>
      </c>
      <c r="S13" s="11" t="n">
        <f aca="false">G13*1.05*VLOOKUP(F13,Parametri!$I$7:$J$23,2,0)</f>
        <v>155925</v>
      </c>
      <c r="T13" s="30" t="n">
        <f aca="false">ROUND(S13*VLOOKUP(D13,Parametri!$L$7:$N$11,2,0)/1000*IF(O13="Sì",Q13,6)/12,2)</f>
        <v>810.81</v>
      </c>
      <c r="U13" s="30" t="n">
        <f aca="false">ROUND(S13*VLOOKUP(D13,Parametri!$L$7:$N$11,3,0)/1000*IF(O13="Sì",P13,12)/12,2)</f>
        <v>1652.81</v>
      </c>
      <c r="V13" s="11" t="n">
        <f aca="false">IF(P13&gt;0,I13*12*L13,0)</f>
        <v>312</v>
      </c>
      <c r="W13" s="11" t="n">
        <f aca="false">-SUMIFS(Straordinari!$F$5:$F$64,Straordinari!$C$5:$C$64,A13,Straordinari!$D$5:$D$64,"Manutenzione straordinaria")</f>
        <v>-0</v>
      </c>
      <c r="X13" s="11" t="n">
        <f aca="false">U13+V13+M13*12+N13+W13</f>
        <v>3864.81</v>
      </c>
      <c r="Y13" s="21" t="n">
        <f aca="false">IFERROR(I13*12/H13,0)</f>
        <v>0.0760975609756098</v>
      </c>
      <c r="Z13" s="21" t="n">
        <f aca="false">IFERROR(R13/H13,0)</f>
        <v>0.0760975609756098</v>
      </c>
      <c r="AA13" s="21" t="n">
        <f aca="false">IFERROR((R13-X13)/H13,0)</f>
        <v>0.0666711951219512</v>
      </c>
      <c r="AB13" s="19" t="n">
        <f aca="false">IFERROR(X13/R13,0)</f>
        <v>0.123872115384615</v>
      </c>
      <c r="AC13" s="10" t="n">
        <f aca="false">IF(OR(Parametri!$B$3="Tutte",B13=Parametri!$B$3),1,0)</f>
        <v>1</v>
      </c>
    </row>
    <row r="14" customFormat="false" ht="15" hidden="false" customHeight="false" outlineLevel="0" collapsed="false">
      <c r="A14" s="24" t="s">
        <v>184</v>
      </c>
      <c r="B14" s="24" t="s">
        <v>58</v>
      </c>
      <c r="C14" s="24" t="s">
        <v>185</v>
      </c>
      <c r="D14" s="24" t="s">
        <v>106</v>
      </c>
      <c r="E14" s="24" t="s">
        <v>163</v>
      </c>
      <c r="F14" s="24" t="s">
        <v>100</v>
      </c>
      <c r="G14" s="29" t="n">
        <v>900</v>
      </c>
      <c r="H14" s="25" t="n">
        <v>250000</v>
      </c>
      <c r="I14" s="25" t="n">
        <v>1100</v>
      </c>
      <c r="J14" s="24" t="s">
        <v>186</v>
      </c>
      <c r="K14" s="24" t="n">
        <v>7</v>
      </c>
      <c r="L14" s="27" t="n">
        <v>0.02</v>
      </c>
      <c r="M14" s="25" t="n">
        <v>120</v>
      </c>
      <c r="N14" s="25" t="n">
        <v>450</v>
      </c>
      <c r="O14" s="23" t="s">
        <v>157</v>
      </c>
      <c r="P14" s="10" t="n">
        <f aca="false">SUM(Occupazione!C14:N14)</f>
        <v>7</v>
      </c>
      <c r="Q14" s="10" t="n">
        <f aca="false">SUM(Occupazione!C14:H14)</f>
        <v>3</v>
      </c>
      <c r="R14" s="11" t="n">
        <f aca="false">I14*P14</f>
        <v>7700</v>
      </c>
      <c r="S14" s="11" t="n">
        <f aca="false">G14*1.05*VLOOKUP(F14,Parametri!$I$7:$J$23,2,0)</f>
        <v>151200</v>
      </c>
      <c r="T14" s="30" t="n">
        <f aca="false">ROUND(S14*VLOOKUP(D14,Parametri!$L$7:$N$11,2,0)/1000*IF(O14="Sì",Q14,6)/12,2)</f>
        <v>393.12</v>
      </c>
      <c r="U14" s="30" t="n">
        <f aca="false">ROUND(S14*VLOOKUP(D14,Parametri!$L$7:$N$11,3,0)/1000*IF(O14="Sì",P14,12)/12,2)</f>
        <v>934.92</v>
      </c>
      <c r="V14" s="11" t="n">
        <f aca="false">IF(P14&gt;0,I14*12*L14,0)</f>
        <v>264</v>
      </c>
      <c r="W14" s="11" t="n">
        <f aca="false">-SUMIFS(Straordinari!$F$5:$F$64,Straordinari!$C$5:$C$64,A14,Straordinari!$D$5:$D$64,"Manutenzione straordinaria")</f>
        <v>4700</v>
      </c>
      <c r="X14" s="11" t="n">
        <f aca="false">U14+V14+M14*12+N14+W14</f>
        <v>7788.92</v>
      </c>
      <c r="Y14" s="21" t="n">
        <f aca="false">IFERROR(I14*12/H14,0)</f>
        <v>0.0528</v>
      </c>
      <c r="Z14" s="21" t="n">
        <f aca="false">IFERROR(R14/H14,0)</f>
        <v>0.0308</v>
      </c>
      <c r="AA14" s="21" t="n">
        <f aca="false">IFERROR((R14-X14)/H14,0)</f>
        <v>-0.00035568</v>
      </c>
      <c r="AB14" s="19" t="n">
        <f aca="false">IFERROR(X14/R14,0)</f>
        <v>1.01154805194805</v>
      </c>
      <c r="AC14" s="10" t="n">
        <f aca="false">IF(OR(Parametri!$B$3="Tutte",B14=Parametri!$B$3),1,0)</f>
        <v>1</v>
      </c>
    </row>
    <row r="15" customFormat="false" ht="15" hidden="false" customHeight="false" outlineLevel="0" collapsed="false">
      <c r="A15" s="24" t="s">
        <v>187</v>
      </c>
      <c r="B15" s="24" t="s">
        <v>58</v>
      </c>
      <c r="C15" s="24" t="s">
        <v>188</v>
      </c>
      <c r="D15" s="24" t="s">
        <v>96</v>
      </c>
      <c r="E15" s="24" t="s">
        <v>155</v>
      </c>
      <c r="F15" s="24" t="s">
        <v>110</v>
      </c>
      <c r="G15" s="29" t="n">
        <v>3100</v>
      </c>
      <c r="H15" s="25" t="n">
        <v>520000</v>
      </c>
      <c r="I15" s="25" t="n">
        <v>2900</v>
      </c>
      <c r="J15" s="24" t="s">
        <v>189</v>
      </c>
      <c r="K15" s="24" t="n">
        <v>10</v>
      </c>
      <c r="L15" s="27" t="n">
        <v>0.01</v>
      </c>
      <c r="M15" s="25" t="n">
        <v>210</v>
      </c>
      <c r="N15" s="25" t="n">
        <v>650</v>
      </c>
      <c r="O15" s="23" t="s">
        <v>157</v>
      </c>
      <c r="P15" s="10" t="n">
        <f aca="false">SUM(Occupazione!C15:N15)</f>
        <v>12</v>
      </c>
      <c r="Q15" s="10" t="n">
        <f aca="false">SUM(Occupazione!C15:H15)</f>
        <v>6</v>
      </c>
      <c r="R15" s="11" t="n">
        <f aca="false">I15*P15</f>
        <v>34800</v>
      </c>
      <c r="S15" s="11" t="n">
        <f aca="false">G15*1.05*VLOOKUP(F15,Parametri!$I$7:$J$23,2,0)</f>
        <v>260400</v>
      </c>
      <c r="T15" s="30" t="n">
        <f aca="false">ROUND(S15*VLOOKUP(D15,Parametri!$L$7:$N$11,2,0)/1000*IF(O15="Sì",Q15,6)/12,2)</f>
        <v>1380.12</v>
      </c>
      <c r="U15" s="30" t="n">
        <f aca="false">ROUND(S15*VLOOKUP(D15,Parametri!$L$7:$N$11,3,0)/1000*IF(O15="Sì",P15,12)/12,2)</f>
        <v>2760.24</v>
      </c>
      <c r="V15" s="11" t="n">
        <f aca="false">IF(P15&gt;0,I15*12*L15,0)</f>
        <v>348</v>
      </c>
      <c r="W15" s="11" t="n">
        <f aca="false">-SUMIFS(Straordinari!$F$5:$F$64,Straordinari!$C$5:$C$64,A15,Straordinari!$D$5:$D$64,"Manutenzione straordinaria")</f>
        <v>-0</v>
      </c>
      <c r="X15" s="11" t="n">
        <f aca="false">U15+V15+M15*12+N15+W15</f>
        <v>6278.24</v>
      </c>
      <c r="Y15" s="21" t="n">
        <f aca="false">IFERROR(I15*12/H15,0)</f>
        <v>0.0669230769230769</v>
      </c>
      <c r="Z15" s="21" t="n">
        <f aca="false">IFERROR(R15/H15,0)</f>
        <v>0.0669230769230769</v>
      </c>
      <c r="AA15" s="21" t="n">
        <f aca="false">IFERROR((R15-X15)/H15,0)</f>
        <v>0.0548495384615385</v>
      </c>
      <c r="AB15" s="19" t="n">
        <f aca="false">IFERROR(X15/R15,0)</f>
        <v>0.180409195402299</v>
      </c>
      <c r="AC15" s="10" t="n">
        <f aca="false">IF(OR(Parametri!$B$3="Tutte",B15=Parametri!$B$3),1,0)</f>
        <v>1</v>
      </c>
    </row>
    <row r="16" customFormat="false" ht="15" hidden="false" customHeight="false" outlineLevel="0" collapsed="false">
      <c r="A16" s="24" t="s">
        <v>190</v>
      </c>
      <c r="B16" s="24" t="s">
        <v>58</v>
      </c>
      <c r="C16" s="24" t="s">
        <v>191</v>
      </c>
      <c r="D16" s="24" t="s">
        <v>99</v>
      </c>
      <c r="E16" s="24" t="s">
        <v>170</v>
      </c>
      <c r="F16" s="24" t="s">
        <v>120</v>
      </c>
      <c r="G16" s="29" t="n">
        <v>95</v>
      </c>
      <c r="H16" s="25" t="n">
        <v>18000</v>
      </c>
      <c r="I16" s="25" t="n">
        <v>80</v>
      </c>
      <c r="J16" s="24" t="s">
        <v>192</v>
      </c>
      <c r="K16" s="24" t="n">
        <v>1</v>
      </c>
      <c r="L16" s="27" t="n">
        <v>0.02</v>
      </c>
      <c r="M16" s="25" t="n">
        <v>0</v>
      </c>
      <c r="N16" s="25" t="n">
        <v>0</v>
      </c>
      <c r="O16" s="23" t="s">
        <v>157</v>
      </c>
      <c r="P16" s="10" t="n">
        <f aca="false">SUM(Occupazione!C16:N16)</f>
        <v>0</v>
      </c>
      <c r="Q16" s="10" t="n">
        <f aca="false">SUM(Occupazione!C16:H16)</f>
        <v>0</v>
      </c>
      <c r="R16" s="11" t="n">
        <f aca="false">I16*P16</f>
        <v>0</v>
      </c>
      <c r="S16" s="11" t="n">
        <f aca="false">G16*1.05*VLOOKUP(F16,Parametri!$I$7:$J$23,2,0)</f>
        <v>15960</v>
      </c>
      <c r="T16" s="30" t="n">
        <f aca="false">ROUND(S16*VLOOKUP(D16,Parametri!$L$7:$N$11,2,0)/1000*IF(O16="Sì",Q16,6)/12,2)</f>
        <v>0</v>
      </c>
      <c r="U16" s="30" t="n">
        <f aca="false">ROUND(S16*VLOOKUP(D16,Parametri!$L$7:$N$11,3,0)/1000*IF(O16="Sì",P16,12)/12,2)</f>
        <v>0</v>
      </c>
      <c r="V16" s="11" t="n">
        <f aca="false">IF(P16&gt;0,I16*12*L16,0)</f>
        <v>0</v>
      </c>
      <c r="W16" s="11" t="n">
        <f aca="false">-SUMIFS(Straordinari!$F$5:$F$64,Straordinari!$C$5:$C$64,A16,Straordinari!$D$5:$D$64,"Manutenzione straordinaria")</f>
        <v>-0</v>
      </c>
      <c r="X16" s="11" t="n">
        <f aca="false">U16+V16+M16*12+N16+W16</f>
        <v>0</v>
      </c>
      <c r="Y16" s="21" t="n">
        <f aca="false">IFERROR(I16*12/H16,0)</f>
        <v>0.0533333333333333</v>
      </c>
      <c r="Z16" s="21" t="n">
        <f aca="false">IFERROR(R16/H16,0)</f>
        <v>0</v>
      </c>
      <c r="AA16" s="21" t="n">
        <f aca="false">IFERROR((R16-X16)/H16,0)</f>
        <v>0</v>
      </c>
      <c r="AB16" s="19" t="n">
        <f aca="false">IFERROR(X16/R16,0)</f>
        <v>0</v>
      </c>
      <c r="AC16" s="10" t="n">
        <f aca="false">IF(OR(Parametri!$B$3="Tutte",B16=Parametri!$B$3),1,0)</f>
        <v>1</v>
      </c>
    </row>
    <row r="17" customFormat="false" ht="15" hidden="false" customHeight="false" outlineLevel="0" collapsed="false">
      <c r="A17" s="13" t="s">
        <v>193</v>
      </c>
      <c r="B17" s="31"/>
      <c r="C17" s="31"/>
      <c r="D17" s="31"/>
      <c r="E17" s="31"/>
      <c r="F17" s="31"/>
      <c r="G17" s="31"/>
      <c r="H17" s="12" t="n">
        <f aca="false">SUMPRODUCT($AC$5:$AC$16,H5:H16)</f>
        <v>4358000</v>
      </c>
      <c r="I17" s="12" t="n">
        <f aca="false">SUMPRODUCT($AC$5:$AC$16,I5:I16)</f>
        <v>23450</v>
      </c>
      <c r="J17" s="31"/>
      <c r="K17" s="31"/>
      <c r="L17" s="31"/>
      <c r="M17" s="31"/>
      <c r="N17" s="31"/>
      <c r="O17" s="31"/>
      <c r="P17" s="31"/>
      <c r="Q17" s="31"/>
      <c r="R17" s="12" t="n">
        <f aca="false">SUMPRODUCT($AC$5:$AC$16,R5:R16)</f>
        <v>274940</v>
      </c>
      <c r="S17" s="31"/>
      <c r="T17" s="12" t="n">
        <f aca="false">SUMPRODUCT($AC$5:$AC$16,T5:T16)</f>
        <v>12170.87</v>
      </c>
      <c r="U17" s="12" t="n">
        <f aca="false">SUMPRODUCT($AC$5:$AC$16,U5:U16)</f>
        <v>24521.62</v>
      </c>
      <c r="V17" s="12" t="n">
        <f aca="false">SUMPRODUCT($AC$5:$AC$16,V5:V16)</f>
        <v>3352.8</v>
      </c>
      <c r="W17" s="12" t="n">
        <f aca="false">SUMPRODUCT($AC$5:$AC$16,W5:W16)</f>
        <v>22500</v>
      </c>
      <c r="X17" s="12" t="n">
        <f aca="false">SUMPRODUCT($AC$5:$AC$16,X5:X16)</f>
        <v>72834.42</v>
      </c>
      <c r="Y17" s="32" t="n">
        <f aca="false">IFERROR(I17*12/H17,0)</f>
        <v>0.0645709040844424</v>
      </c>
      <c r="Z17" s="32" t="n">
        <f aca="false">IFERROR(R17/H17,0)</f>
        <v>0.0630885727397889</v>
      </c>
      <c r="AA17" s="32" t="n">
        <f aca="false">IFERROR((R17-X17)/H17,0)</f>
        <v>0.046375764111978</v>
      </c>
      <c r="AB17" s="33" t="n">
        <f aca="false">IFERROR(X17/R17,0)</f>
        <v>0.264910234960355</v>
      </c>
      <c r="AC17" s="31"/>
    </row>
  </sheetData>
  <dataValidations count="1">
    <dataValidation allowBlank="false" errorStyle="stop" operator="between" showDropDown="false" showErrorMessage="false" showInputMessage="false" sqref="O5:O36" type="list">
      <formula1>"Sì,No"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14" min="3" style="0" width="6"/>
    <col collapsed="false" customWidth="true" hidden="false" outlineLevel="0" max="15" min="15" style="0" width="10"/>
  </cols>
  <sheetData>
    <row r="1" customFormat="false" ht="19.7" hidden="false" customHeight="false" outlineLevel="0" collapsed="false">
      <c r="A1" s="1" t="s">
        <v>194</v>
      </c>
    </row>
    <row r="2" customFormat="false" ht="15" hidden="false" customHeight="false" outlineLevel="0" collapsed="false">
      <c r="A2" s="5" t="s">
        <v>195</v>
      </c>
    </row>
    <row r="4" customFormat="false" ht="31.5" hidden="false" customHeight="true" outlineLevel="0" collapsed="false">
      <c r="A4" s="6" t="s">
        <v>82</v>
      </c>
      <c r="B4" s="6" t="s">
        <v>135</v>
      </c>
      <c r="C4" s="6" t="s">
        <v>196</v>
      </c>
      <c r="D4" s="6" t="s">
        <v>197</v>
      </c>
      <c r="E4" s="6" t="s">
        <v>198</v>
      </c>
      <c r="F4" s="6" t="s">
        <v>199</v>
      </c>
      <c r="G4" s="6" t="s">
        <v>200</v>
      </c>
      <c r="H4" s="6" t="s">
        <v>201</v>
      </c>
      <c r="I4" s="6" t="s">
        <v>202</v>
      </c>
      <c r="J4" s="6" t="s">
        <v>203</v>
      </c>
      <c r="K4" s="6" t="s">
        <v>204</v>
      </c>
      <c r="L4" s="6" t="s">
        <v>205</v>
      </c>
      <c r="M4" s="6" t="s">
        <v>206</v>
      </c>
      <c r="N4" s="6" t="s">
        <v>207</v>
      </c>
      <c r="O4" s="6" t="s">
        <v>141</v>
      </c>
    </row>
    <row r="5" customFormat="false" ht="15" hidden="false" customHeight="false" outlineLevel="0" collapsed="false">
      <c r="A5" s="10" t="str">
        <f aca="false">Immobili!A5</f>
        <v>IU-01</v>
      </c>
      <c r="B5" s="10" t="str">
        <f aca="false">Immobili!J5</f>
        <v>Studio Legale Ferraro</v>
      </c>
      <c r="C5" s="34" t="n">
        <v>1</v>
      </c>
      <c r="D5" s="34" t="n">
        <v>1</v>
      </c>
      <c r="E5" s="34" t="n">
        <v>1</v>
      </c>
      <c r="F5" s="34" t="n">
        <v>1</v>
      </c>
      <c r="G5" s="34" t="n">
        <v>1</v>
      </c>
      <c r="H5" s="34" t="n">
        <v>1</v>
      </c>
      <c r="I5" s="34" t="n">
        <v>1</v>
      </c>
      <c r="J5" s="34" t="n">
        <v>1</v>
      </c>
      <c r="K5" s="34" t="n">
        <v>1</v>
      </c>
      <c r="L5" s="34" t="n">
        <v>1</v>
      </c>
      <c r="M5" s="34" t="n">
        <v>1</v>
      </c>
      <c r="N5" s="34" t="n">
        <v>1</v>
      </c>
      <c r="O5" s="16" t="n">
        <f aca="false">SUM(C5:N5)</f>
        <v>12</v>
      </c>
    </row>
    <row r="6" customFormat="false" ht="15" hidden="false" customHeight="false" outlineLevel="0" collapsed="false">
      <c r="A6" s="10" t="str">
        <f aca="false">Immobili!A6</f>
        <v>IU-02</v>
      </c>
      <c r="B6" s="10" t="str">
        <f aca="false">Immobili!J6</f>
        <v>Bar Toledo S.n.c.</v>
      </c>
      <c r="C6" s="34" t="n">
        <v>1</v>
      </c>
      <c r="D6" s="34" t="n">
        <v>1</v>
      </c>
      <c r="E6" s="34" t="n">
        <v>1</v>
      </c>
      <c r="F6" s="34" t="n">
        <v>1</v>
      </c>
      <c r="G6" s="34" t="n">
        <v>1</v>
      </c>
      <c r="H6" s="34" t="n">
        <v>1</v>
      </c>
      <c r="I6" s="34" t="n">
        <v>1</v>
      </c>
      <c r="J6" s="34" t="n">
        <v>1</v>
      </c>
      <c r="K6" s="34" t="n">
        <v>1</v>
      </c>
      <c r="L6" s="34" t="n">
        <v>1</v>
      </c>
      <c r="M6" s="34" t="n">
        <v>1</v>
      </c>
      <c r="N6" s="34" t="n">
        <v>1</v>
      </c>
      <c r="O6" s="16" t="n">
        <f aca="false">SUM(C6:N6)</f>
        <v>12</v>
      </c>
    </row>
    <row r="7" customFormat="false" ht="15" hidden="false" customHeight="false" outlineLevel="0" collapsed="false">
      <c r="A7" s="10" t="str">
        <f aca="false">Immobili!A7</f>
        <v>IU-03</v>
      </c>
      <c r="B7" s="10" t="str">
        <f aca="false">Immobili!J7</f>
        <v>Marco De Luca</v>
      </c>
      <c r="C7" s="34" t="n">
        <v>1</v>
      </c>
      <c r="D7" s="34" t="n">
        <v>1</v>
      </c>
      <c r="E7" s="34" t="n">
        <v>1</v>
      </c>
      <c r="F7" s="34" t="n">
        <v>1</v>
      </c>
      <c r="G7" s="34" t="n">
        <v>1</v>
      </c>
      <c r="H7" s="34" t="n">
        <v>1</v>
      </c>
      <c r="I7" s="34" t="n">
        <v>1</v>
      </c>
      <c r="J7" s="34" t="n">
        <v>1</v>
      </c>
      <c r="K7" s="34" t="n">
        <v>1</v>
      </c>
      <c r="L7" s="34" t="n">
        <v>1</v>
      </c>
      <c r="M7" s="34" t="n">
        <v>1</v>
      </c>
      <c r="N7" s="34" t="n">
        <v>1</v>
      </c>
      <c r="O7" s="16" t="n">
        <f aca="false">SUM(C7:N7)</f>
        <v>12</v>
      </c>
    </row>
    <row r="8" customFormat="false" ht="15" hidden="false" customHeight="false" outlineLevel="0" collapsed="false">
      <c r="A8" s="10" t="str">
        <f aca="false">Immobili!A8</f>
        <v>IU-04</v>
      </c>
      <c r="B8" s="10" t="str">
        <f aca="false">Immobili!J8</f>
        <v>Anna Esposito</v>
      </c>
      <c r="C8" s="34" t="n">
        <v>1</v>
      </c>
      <c r="D8" s="34" t="n">
        <v>1</v>
      </c>
      <c r="E8" s="34" t="n">
        <v>1</v>
      </c>
      <c r="F8" s="34" t="n">
        <v>1</v>
      </c>
      <c r="G8" s="34" t="n">
        <v>1</v>
      </c>
      <c r="H8" s="34" t="n">
        <v>1</v>
      </c>
      <c r="I8" s="34" t="n">
        <v>1</v>
      </c>
      <c r="J8" s="34" t="n">
        <v>1</v>
      </c>
      <c r="K8" s="34" t="n">
        <v>1</v>
      </c>
      <c r="L8" s="34" t="n">
        <v>1</v>
      </c>
      <c r="M8" s="34" t="n">
        <v>1</v>
      </c>
      <c r="N8" s="34" t="n">
        <v>1</v>
      </c>
      <c r="O8" s="16" t="n">
        <f aca="false">SUM(C8:N8)</f>
        <v>12</v>
      </c>
    </row>
    <row r="9" customFormat="false" ht="15" hidden="false" customHeight="false" outlineLevel="0" collapsed="false">
      <c r="A9" s="10" t="str">
        <f aca="false">Immobili!A9</f>
        <v>IU-05</v>
      </c>
      <c r="B9" s="10" t="str">
        <f aca="false">Immobili!J9</f>
        <v>Anna Esposito</v>
      </c>
      <c r="C9" s="34" t="n">
        <v>1</v>
      </c>
      <c r="D9" s="34" t="n">
        <v>1</v>
      </c>
      <c r="E9" s="34" t="n">
        <v>1</v>
      </c>
      <c r="F9" s="34" t="n">
        <v>1</v>
      </c>
      <c r="G9" s="34" t="n">
        <v>1</v>
      </c>
      <c r="H9" s="34" t="n">
        <v>1</v>
      </c>
      <c r="I9" s="34" t="n">
        <v>1</v>
      </c>
      <c r="J9" s="34" t="n">
        <v>1</v>
      </c>
      <c r="K9" s="34" t="n">
        <v>1</v>
      </c>
      <c r="L9" s="34" t="n">
        <v>1</v>
      </c>
      <c r="M9" s="34" t="n">
        <v>1</v>
      </c>
      <c r="N9" s="34" t="n">
        <v>1</v>
      </c>
      <c r="O9" s="16" t="n">
        <f aca="false">SUM(C9:N9)</f>
        <v>12</v>
      </c>
    </row>
    <row r="10" customFormat="false" ht="15" hidden="false" customHeight="false" outlineLevel="0" collapsed="false">
      <c r="A10" s="10" t="str">
        <f aca="false">Immobili!A10</f>
        <v>IU-06</v>
      </c>
      <c r="B10" s="10" t="str">
        <f aca="false">Immobili!J10</f>
        <v>Logistica Campana S.p.A.</v>
      </c>
      <c r="C10" s="34" t="n">
        <v>1</v>
      </c>
      <c r="D10" s="34" t="n">
        <v>1</v>
      </c>
      <c r="E10" s="34" t="n">
        <v>1</v>
      </c>
      <c r="F10" s="34" t="n">
        <v>1</v>
      </c>
      <c r="G10" s="34" t="n">
        <v>1</v>
      </c>
      <c r="H10" s="34" t="n">
        <v>1</v>
      </c>
      <c r="I10" s="34" t="n">
        <v>1</v>
      </c>
      <c r="J10" s="34" t="n">
        <v>1</v>
      </c>
      <c r="K10" s="34" t="n">
        <v>1</v>
      </c>
      <c r="L10" s="34" t="n">
        <v>1</v>
      </c>
      <c r="M10" s="34" t="n">
        <v>1</v>
      </c>
      <c r="N10" s="34" t="n">
        <v>1</v>
      </c>
      <c r="O10" s="16" t="n">
        <f aca="false">SUM(C10:N10)</f>
        <v>12</v>
      </c>
    </row>
    <row r="11" customFormat="false" ht="15" hidden="false" customHeight="false" outlineLevel="0" collapsed="false">
      <c r="A11" s="10" t="str">
        <f aca="false">Immobili!A11</f>
        <v>ID-01</v>
      </c>
      <c r="B11" s="10" t="str">
        <f aca="false">Immobili!J11</f>
        <v>Luca Russo</v>
      </c>
      <c r="C11" s="34" t="n">
        <v>1</v>
      </c>
      <c r="D11" s="34" t="n">
        <v>1</v>
      </c>
      <c r="E11" s="34" t="n">
        <v>1</v>
      </c>
      <c r="F11" s="34" t="n">
        <v>1</v>
      </c>
      <c r="G11" s="34" t="n">
        <v>1</v>
      </c>
      <c r="H11" s="34" t="n">
        <v>1</v>
      </c>
      <c r="I11" s="34" t="n">
        <v>1</v>
      </c>
      <c r="J11" s="34" t="n">
        <v>1</v>
      </c>
      <c r="K11" s="34" t="n">
        <v>1</v>
      </c>
      <c r="L11" s="34" t="n">
        <v>1</v>
      </c>
      <c r="M11" s="34" t="n">
        <v>1</v>
      </c>
      <c r="N11" s="34" t="n">
        <v>1</v>
      </c>
      <c r="O11" s="16" t="n">
        <f aca="false">SUM(C11:N11)</f>
        <v>12</v>
      </c>
    </row>
    <row r="12" customFormat="false" ht="15" hidden="false" customHeight="false" outlineLevel="0" collapsed="false">
      <c r="A12" s="10" t="str">
        <f aca="false">Immobili!A12</f>
        <v>ID-02</v>
      </c>
      <c r="B12" s="10" t="str">
        <f aca="false">Immobili!J12</f>
        <v>Assicurazioni Vesuvio S.r.l.</v>
      </c>
      <c r="C12" s="34" t="n">
        <v>1</v>
      </c>
      <c r="D12" s="34" t="n">
        <v>1</v>
      </c>
      <c r="E12" s="34" t="n">
        <v>1</v>
      </c>
      <c r="F12" s="34" t="n">
        <v>1</v>
      </c>
      <c r="G12" s="34" t="n">
        <v>1</v>
      </c>
      <c r="H12" s="34" t="n">
        <v>1</v>
      </c>
      <c r="I12" s="34" t="n">
        <v>1</v>
      </c>
      <c r="J12" s="34" t="n">
        <v>1</v>
      </c>
      <c r="K12" s="34" t="n">
        <v>1</v>
      </c>
      <c r="L12" s="34" t="n">
        <v>1</v>
      </c>
      <c r="M12" s="34" t="n">
        <v>1</v>
      </c>
      <c r="N12" s="34" t="n">
        <v>1</v>
      </c>
      <c r="O12" s="16" t="n">
        <f aca="false">SUM(C12:N12)</f>
        <v>12</v>
      </c>
    </row>
    <row r="13" customFormat="false" ht="15" hidden="false" customHeight="false" outlineLevel="0" collapsed="false">
      <c r="A13" s="10" t="str">
        <f aca="false">Immobili!A13</f>
        <v>ID-03</v>
      </c>
      <c r="B13" s="10" t="str">
        <f aca="false">Immobili!J13</f>
        <v>Ottica Salernitana S.r.l.</v>
      </c>
      <c r="C13" s="34" t="n">
        <v>1</v>
      </c>
      <c r="D13" s="34" t="n">
        <v>1</v>
      </c>
      <c r="E13" s="34" t="n">
        <v>1</v>
      </c>
      <c r="F13" s="34" t="n">
        <v>1</v>
      </c>
      <c r="G13" s="34" t="n">
        <v>1</v>
      </c>
      <c r="H13" s="34" t="n">
        <v>1</v>
      </c>
      <c r="I13" s="34" t="n">
        <v>1</v>
      </c>
      <c r="J13" s="34" t="n">
        <v>1</v>
      </c>
      <c r="K13" s="34" t="n">
        <v>1</v>
      </c>
      <c r="L13" s="34" t="n">
        <v>1</v>
      </c>
      <c r="M13" s="34" t="n">
        <v>1</v>
      </c>
      <c r="N13" s="34" t="n">
        <v>1</v>
      </c>
      <c r="O13" s="16" t="n">
        <f aca="false">SUM(C13:N13)</f>
        <v>12</v>
      </c>
    </row>
    <row r="14" customFormat="false" ht="15" hidden="false" customHeight="false" outlineLevel="0" collapsed="false">
      <c r="A14" s="10" t="str">
        <f aca="false">Immobili!A14</f>
        <v>ID-04</v>
      </c>
      <c r="B14" s="10" t="str">
        <f aca="false">Immobili!J14</f>
        <v>Giulia Ferri (disdetta 31/03)</v>
      </c>
      <c r="C14" s="34" t="n">
        <v>1</v>
      </c>
      <c r="D14" s="34" t="n">
        <v>1</v>
      </c>
      <c r="E14" s="34" t="n">
        <v>1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1</v>
      </c>
      <c r="L14" s="34" t="n">
        <v>1</v>
      </c>
      <c r="M14" s="34" t="n">
        <v>1</v>
      </c>
      <c r="N14" s="34" t="n">
        <v>1</v>
      </c>
      <c r="O14" s="16" t="n">
        <f aca="false">SUM(C14:N14)</f>
        <v>7</v>
      </c>
    </row>
    <row r="15" customFormat="false" ht="15" hidden="false" customHeight="false" outlineLevel="0" collapsed="false">
      <c r="A15" s="10" t="str">
        <f aca="false">Immobili!A15</f>
        <v>ID-05</v>
      </c>
      <c r="B15" s="10" t="str">
        <f aca="false">Immobili!J15</f>
        <v>Tech Partners S.r.l.</v>
      </c>
      <c r="C15" s="34" t="n">
        <v>1</v>
      </c>
      <c r="D15" s="34" t="n">
        <v>1</v>
      </c>
      <c r="E15" s="34" t="n">
        <v>1</v>
      </c>
      <c r="F15" s="34" t="n">
        <v>1</v>
      </c>
      <c r="G15" s="34" t="n">
        <v>1</v>
      </c>
      <c r="H15" s="34" t="n">
        <v>1</v>
      </c>
      <c r="I15" s="34" t="n">
        <v>1</v>
      </c>
      <c r="J15" s="34" t="n">
        <v>1</v>
      </c>
      <c r="K15" s="34" t="n">
        <v>1</v>
      </c>
      <c r="L15" s="34" t="n">
        <v>1</v>
      </c>
      <c r="M15" s="34" t="n">
        <v>1</v>
      </c>
      <c r="N15" s="34" t="n">
        <v>1</v>
      </c>
      <c r="O15" s="16" t="n">
        <f aca="false">SUM(C15:N15)</f>
        <v>12</v>
      </c>
    </row>
    <row r="16" customFormat="false" ht="15" hidden="false" customHeight="false" outlineLevel="0" collapsed="false">
      <c r="A16" s="10" t="str">
        <f aca="false">Immobili!A16</f>
        <v>ID-06</v>
      </c>
      <c r="B16" s="10" t="str">
        <f aca="false">Immobili!J16</f>
        <v>(sfitto)</v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34" t="n">
        <v>0</v>
      </c>
      <c r="O16" s="16" t="n">
        <f aca="false">SUM(C16:N16)</f>
        <v>0</v>
      </c>
    </row>
  </sheetData>
  <conditionalFormatting sqref="C5:N16">
    <cfRule type="cellIs" priority="2" operator="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9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8"/>
    <col collapsed="false" customWidth="true" hidden="false" outlineLevel="0" max="20" min="16" style="0" width="12"/>
  </cols>
  <sheetData>
    <row r="1" customFormat="false" ht="19.7" hidden="false" customHeight="false" outlineLevel="0" collapsed="false">
      <c r="A1" s="1" t="s">
        <v>208</v>
      </c>
    </row>
    <row r="2" customFormat="false" ht="15" hidden="false" customHeight="false" outlineLevel="0" collapsed="false">
      <c r="A2" s="5" t="s">
        <v>209</v>
      </c>
    </row>
    <row r="4" customFormat="false" ht="31.5" hidden="false" customHeight="true" outlineLevel="0" collapsed="false">
      <c r="A4" s="6" t="s">
        <v>128</v>
      </c>
      <c r="B4" s="6" t="s">
        <v>129</v>
      </c>
      <c r="C4" s="6" t="s">
        <v>210</v>
      </c>
      <c r="D4" s="6" t="s">
        <v>211</v>
      </c>
      <c r="E4" s="6" t="s">
        <v>212</v>
      </c>
      <c r="F4" s="6" t="s">
        <v>213</v>
      </c>
      <c r="G4" s="6" t="s">
        <v>214</v>
      </c>
      <c r="H4" s="6" t="s">
        <v>215</v>
      </c>
      <c r="I4" s="6" t="s">
        <v>216</v>
      </c>
      <c r="J4" s="6" t="s">
        <v>217</v>
      </c>
      <c r="K4" s="6" t="s">
        <v>218</v>
      </c>
      <c r="L4" s="6" t="s">
        <v>219</v>
      </c>
      <c r="M4" s="6" t="s">
        <v>220</v>
      </c>
      <c r="N4" s="6" t="s">
        <v>221</v>
      </c>
      <c r="O4" s="6" t="s">
        <v>88</v>
      </c>
      <c r="P4" s="6" t="s">
        <v>222</v>
      </c>
      <c r="Q4" s="6" t="s">
        <v>223</v>
      </c>
      <c r="R4" s="6" t="s">
        <v>224</v>
      </c>
      <c r="S4" s="6" t="s">
        <v>225</v>
      </c>
      <c r="T4" s="6" t="s">
        <v>226</v>
      </c>
    </row>
    <row r="5" customFormat="false" ht="15" hidden="false" customHeight="false" outlineLevel="0" collapsed="false">
      <c r="A5" s="24" t="s">
        <v>57</v>
      </c>
      <c r="B5" s="24" t="s">
        <v>227</v>
      </c>
      <c r="C5" s="24" t="s">
        <v>228</v>
      </c>
      <c r="D5" s="24" t="s">
        <v>229</v>
      </c>
      <c r="E5" s="25" t="n">
        <v>250000</v>
      </c>
      <c r="F5" s="28" t="n">
        <v>0.038</v>
      </c>
      <c r="G5" s="24" t="n">
        <v>144</v>
      </c>
      <c r="H5" s="30" t="n">
        <f aca="false">PMT(F5/12,G5,-E5)</f>
        <v>2164.62438631076</v>
      </c>
      <c r="I5" s="11" t="n">
        <f aca="false">-FV(F5/12,MIN(12,G5),-H5,E5)</f>
        <v>233234.508612943</v>
      </c>
      <c r="J5" s="11" t="n">
        <f aca="false">E5-I5</f>
        <v>16765.491387057</v>
      </c>
      <c r="K5" s="11" t="n">
        <f aca="false">H5*MIN(12,G5)-J5</f>
        <v>9210.00124867212</v>
      </c>
      <c r="L5" s="28" t="n">
        <v>0.031</v>
      </c>
      <c r="M5" s="30" t="n">
        <f aca="false">PMT(L5/12,G5,-E5)</f>
        <v>2081.21846089479</v>
      </c>
      <c r="N5" s="11" t="n">
        <f aca="false">(H5-M5)*12</f>
        <v>1000.87110499161</v>
      </c>
      <c r="O5" s="10" t="n">
        <f aca="false">IF(OR(Parametri!$B$3="Tutte",A5=Parametri!$B$3),1,0)</f>
        <v>1</v>
      </c>
      <c r="P5" s="11" t="n">
        <f aca="false">H5*MAX(0,MIN(12,G5-12*0))</f>
        <v>25975.4926357291</v>
      </c>
      <c r="Q5" s="11" t="n">
        <f aca="false">H5*MAX(0,MIN(12,G5-12*1))</f>
        <v>25975.4926357291</v>
      </c>
      <c r="R5" s="11" t="n">
        <f aca="false">H5*MAX(0,MIN(12,G5-12*2))</f>
        <v>25975.4926357291</v>
      </c>
      <c r="S5" s="11" t="n">
        <f aca="false">H5*MAX(0,MIN(12,G5-12*3))</f>
        <v>25975.4926357291</v>
      </c>
      <c r="T5" s="11" t="n">
        <f aca="false">H5*MAX(0,MIN(12,G5-12*4))</f>
        <v>25975.4926357291</v>
      </c>
    </row>
    <row r="6" customFormat="false" ht="15" hidden="false" customHeight="false" outlineLevel="0" collapsed="false">
      <c r="A6" s="24" t="s">
        <v>57</v>
      </c>
      <c r="B6" s="24" t="s">
        <v>230</v>
      </c>
      <c r="C6" s="24" t="s">
        <v>231</v>
      </c>
      <c r="D6" s="24" t="s">
        <v>171</v>
      </c>
      <c r="E6" s="25" t="n">
        <v>380000</v>
      </c>
      <c r="F6" s="28" t="n">
        <v>0.041</v>
      </c>
      <c r="G6" s="24" t="n">
        <v>180</v>
      </c>
      <c r="H6" s="30" t="n">
        <f aca="false">PMT(F6/12,G6,-E6)</f>
        <v>2829.89478135713</v>
      </c>
      <c r="I6" s="11" t="n">
        <f aca="false">-FV(F6/12,MIN(12,G6),-H6,E6)</f>
        <v>361271.931766014</v>
      </c>
      <c r="J6" s="11" t="n">
        <f aca="false">E6-I6</f>
        <v>18728.0682339863</v>
      </c>
      <c r="K6" s="11" t="n">
        <f aca="false">H6*MIN(12,G6)-J6</f>
        <v>15230.6691422993</v>
      </c>
      <c r="L6" s="28" t="n">
        <v>0.034</v>
      </c>
      <c r="M6" s="30" t="n">
        <f aca="false">PMT(L6/12,G6,-E6)</f>
        <v>2697.93109590073</v>
      </c>
      <c r="N6" s="11" t="n">
        <f aca="false">(H6-M6)*12</f>
        <v>1583.56422547673</v>
      </c>
      <c r="O6" s="10" t="n">
        <f aca="false">IF(OR(Parametri!$B$3="Tutte",A6=Parametri!$B$3),1,0)</f>
        <v>1</v>
      </c>
      <c r="P6" s="11" t="n">
        <f aca="false">H6*MAX(0,MIN(12,G6-12*0))</f>
        <v>33958.7373762855</v>
      </c>
      <c r="Q6" s="11" t="n">
        <f aca="false">H6*MAX(0,MIN(12,G6-12*1))</f>
        <v>33958.7373762855</v>
      </c>
      <c r="R6" s="11" t="n">
        <f aca="false">H6*MAX(0,MIN(12,G6-12*2))</f>
        <v>33958.7373762855</v>
      </c>
      <c r="S6" s="11" t="n">
        <f aca="false">H6*MAX(0,MIN(12,G6-12*3))</f>
        <v>33958.7373762855</v>
      </c>
      <c r="T6" s="11" t="n">
        <f aca="false">H6*MAX(0,MIN(12,G6-12*4))</f>
        <v>33958.7373762855</v>
      </c>
    </row>
    <row r="7" customFormat="false" ht="15" hidden="false" customHeight="false" outlineLevel="0" collapsed="false">
      <c r="A7" s="24" t="s">
        <v>58</v>
      </c>
      <c r="B7" s="24" t="s">
        <v>232</v>
      </c>
      <c r="C7" s="24" t="s">
        <v>233</v>
      </c>
      <c r="D7" s="24" t="s">
        <v>234</v>
      </c>
      <c r="E7" s="25" t="n">
        <v>190000</v>
      </c>
      <c r="F7" s="28" t="n">
        <v>0.035</v>
      </c>
      <c r="G7" s="24" t="n">
        <v>96</v>
      </c>
      <c r="H7" s="30" t="n">
        <f aca="false">PMT(F7/12,G7,-E7)</f>
        <v>2272.02982778349</v>
      </c>
      <c r="I7" s="11" t="n">
        <f aca="false">-FV(F7/12,MIN(12,G7),-H7,E7)</f>
        <v>169051.717182037</v>
      </c>
      <c r="J7" s="11" t="n">
        <f aca="false">E7-I7</f>
        <v>20948.2828179628</v>
      </c>
      <c r="K7" s="11" t="n">
        <f aca="false">H7*MIN(12,G7)-J7</f>
        <v>6316.07511543904</v>
      </c>
      <c r="L7" s="28" t="n">
        <v>0.03</v>
      </c>
      <c r="M7" s="30" t="n">
        <f aca="false">PMT(L7/12,G7,-E7)</f>
        <v>2228.61866673741</v>
      </c>
      <c r="N7" s="11" t="n">
        <f aca="false">(H7-M7)*12</f>
        <v>520.933932552933</v>
      </c>
      <c r="O7" s="10" t="n">
        <f aca="false">IF(OR(Parametri!$B$3="Tutte",A7=Parametri!$B$3),1,0)</f>
        <v>1</v>
      </c>
      <c r="P7" s="11" t="n">
        <f aca="false">H7*MAX(0,MIN(12,G7-12*0))</f>
        <v>27264.3579334019</v>
      </c>
      <c r="Q7" s="11" t="n">
        <f aca="false">H7*MAX(0,MIN(12,G7-12*1))</f>
        <v>27264.3579334019</v>
      </c>
      <c r="R7" s="11" t="n">
        <f aca="false">H7*MAX(0,MIN(12,G7-12*2))</f>
        <v>27264.3579334019</v>
      </c>
      <c r="S7" s="11" t="n">
        <f aca="false">H7*MAX(0,MIN(12,G7-12*3))</f>
        <v>27264.3579334019</v>
      </c>
      <c r="T7" s="11" t="n">
        <f aca="false">H7*MAX(0,MIN(12,G7-12*4))</f>
        <v>27264.3579334019</v>
      </c>
    </row>
    <row r="8" customFormat="false" ht="15" hidden="false" customHeight="false" outlineLevel="0" collapsed="false">
      <c r="A8" s="24" t="s">
        <v>58</v>
      </c>
      <c r="B8" s="24" t="s">
        <v>235</v>
      </c>
      <c r="C8" s="24" t="s">
        <v>236</v>
      </c>
      <c r="D8" s="24" t="s">
        <v>237</v>
      </c>
      <c r="E8" s="25" t="n">
        <v>60000</v>
      </c>
      <c r="F8" s="28" t="n">
        <v>0.046</v>
      </c>
      <c r="G8" s="24" t="n">
        <v>30</v>
      </c>
      <c r="H8" s="30" t="n">
        <f aca="false">PMT(F8/12,G8,-E8)</f>
        <v>2121.03035881875</v>
      </c>
      <c r="I8" s="11" t="n">
        <f aca="false">-FV(F8/12,MIN(12,G8),-H8,E8)</f>
        <v>36823.0386805812</v>
      </c>
      <c r="J8" s="11" t="n">
        <f aca="false">E8-I8</f>
        <v>23176.9613194188</v>
      </c>
      <c r="K8" s="11" t="n">
        <f aca="false">H8*MIN(12,G8)-J8</f>
        <v>2275.40298640613</v>
      </c>
      <c r="L8" s="28" t="n">
        <v>0.046</v>
      </c>
      <c r="M8" s="30" t="n">
        <f aca="false">PMT(L8/12,G8,-E8)</f>
        <v>2121.03035881875</v>
      </c>
      <c r="N8" s="11" t="n">
        <f aca="false">(H8-M8)*12</f>
        <v>0</v>
      </c>
      <c r="O8" s="10" t="n">
        <f aca="false">IF(OR(Parametri!$B$3="Tutte",A8=Parametri!$B$3),1,0)</f>
        <v>1</v>
      </c>
      <c r="P8" s="11" t="n">
        <f aca="false">H8*MAX(0,MIN(12,G8-12*0))</f>
        <v>25452.3643058249</v>
      </c>
      <c r="Q8" s="11" t="n">
        <f aca="false">H8*MAX(0,MIN(12,G8-12*1))</f>
        <v>25452.3643058249</v>
      </c>
      <c r="R8" s="11" t="n">
        <f aca="false">H8*MAX(0,MIN(12,G8-12*2))</f>
        <v>12726.1821529125</v>
      </c>
      <c r="S8" s="11" t="n">
        <f aca="false">H8*MAX(0,MIN(12,G8-12*3))</f>
        <v>0</v>
      </c>
      <c r="T8" s="11" t="n">
        <f aca="false">H8*MAX(0,MIN(12,G8-12*4))</f>
        <v>0</v>
      </c>
    </row>
    <row r="9" customFormat="false" ht="15" hidden="false" customHeight="false" outlineLevel="0" collapsed="false">
      <c r="A9" s="13" t="s">
        <v>193</v>
      </c>
      <c r="B9" s="31"/>
      <c r="C9" s="31"/>
      <c r="D9" s="31"/>
      <c r="E9" s="12" t="n">
        <f aca="false">SUMPRODUCT($O$5:$O$8,E5:E8)</f>
        <v>880000</v>
      </c>
      <c r="F9" s="31"/>
      <c r="G9" s="31"/>
      <c r="H9" s="12" t="n">
        <f aca="false">SUMPRODUCT($O$5:$O$8,H5:H8)</f>
        <v>9387.57935427013</v>
      </c>
      <c r="I9" s="12" t="n">
        <f aca="false">SUMPRODUCT($O$5:$O$8,I5:I8)</f>
        <v>800381.196241575</v>
      </c>
      <c r="J9" s="12" t="n">
        <f aca="false">SUMPRODUCT($O$5:$O$8,J5:J8)</f>
        <v>79618.803758425</v>
      </c>
      <c r="K9" s="12" t="n">
        <f aca="false">SUMPRODUCT($O$5:$O$8,K5:K8)</f>
        <v>33032.1484928166</v>
      </c>
      <c r="L9" s="31"/>
      <c r="M9" s="12" t="n">
        <f aca="false">SUMPRODUCT($O$5:$O$8,M5:M8)</f>
        <v>9128.79858235169</v>
      </c>
      <c r="N9" s="12" t="n">
        <f aca="false">SUMPRODUCT($O$5:$O$8,N5:N8)</f>
        <v>3105.36926302128</v>
      </c>
      <c r="O9" s="31"/>
      <c r="P9" s="12" t="n">
        <f aca="false">SUMPRODUCT($O$5:$O$8,P5:P8)</f>
        <v>112650.952251242</v>
      </c>
      <c r="Q9" s="12" t="n">
        <f aca="false">SUMPRODUCT($O$5:$O$8,Q5:Q8)</f>
        <v>112650.952251242</v>
      </c>
      <c r="R9" s="12" t="n">
        <f aca="false">SUMPRODUCT($O$5:$O$8,R5:R8)</f>
        <v>99924.770098329</v>
      </c>
      <c r="S9" s="12" t="n">
        <f aca="false">SUMPRODUCT($O$5:$O$8,S5:S8)</f>
        <v>87198.5879454166</v>
      </c>
      <c r="T9" s="12" t="n">
        <f aca="false">SUMPRODUCT($O$5:$O$8,T5:T8)</f>
        <v>87198.5879454166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13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238</v>
      </c>
    </row>
    <row r="2" customFormat="false" ht="15" hidden="false" customHeight="false" outlineLevel="0" collapsed="false">
      <c r="A2" s="5" t="s">
        <v>239</v>
      </c>
    </row>
    <row r="4" customFormat="false" ht="31.5" hidden="false" customHeight="true" outlineLevel="0" collapsed="false">
      <c r="A4" s="6" t="s">
        <v>240</v>
      </c>
      <c r="B4" s="6" t="s">
        <v>128</v>
      </c>
      <c r="C4" s="6" t="s">
        <v>241</v>
      </c>
      <c r="D4" s="6" t="s">
        <v>89</v>
      </c>
      <c r="E4" s="6" t="s">
        <v>129</v>
      </c>
      <c r="F4" s="6" t="s">
        <v>242</v>
      </c>
      <c r="G4" s="6" t="s">
        <v>88</v>
      </c>
    </row>
    <row r="5" customFormat="false" ht="15" hidden="false" customHeight="false" outlineLevel="0" collapsed="false">
      <c r="A5" s="35" t="n">
        <v>46492</v>
      </c>
      <c r="B5" s="24" t="s">
        <v>58</v>
      </c>
      <c r="C5" s="24" t="s">
        <v>184</v>
      </c>
      <c r="D5" s="23" t="s">
        <v>243</v>
      </c>
      <c r="E5" s="24" t="s">
        <v>244</v>
      </c>
      <c r="F5" s="25" t="n">
        <v>-2800</v>
      </c>
      <c r="G5" s="10" t="n">
        <f aca="false">IF(B5="",0,IF(OR(Parametri!$B$3="Tutte",B5=Parametri!$B$3),1,0))</f>
        <v>1</v>
      </c>
    </row>
    <row r="6" customFormat="false" ht="15" hidden="false" customHeight="false" outlineLevel="0" collapsed="false">
      <c r="A6" s="35" t="n">
        <v>46517</v>
      </c>
      <c r="B6" s="24" t="s">
        <v>58</v>
      </c>
      <c r="C6" s="24" t="s">
        <v>184</v>
      </c>
      <c r="D6" s="23" t="s">
        <v>243</v>
      </c>
      <c r="E6" s="24" t="s">
        <v>245</v>
      </c>
      <c r="F6" s="25" t="n">
        <v>-1900</v>
      </c>
      <c r="G6" s="10" t="n">
        <f aca="false">IF(B6="",0,IF(OR(Parametri!$B$3="Tutte",B6=Parametri!$B$3),1,0))</f>
        <v>1</v>
      </c>
    </row>
    <row r="7" customFormat="false" ht="15" hidden="false" customHeight="false" outlineLevel="0" collapsed="false">
      <c r="A7" s="35" t="n">
        <v>46558</v>
      </c>
      <c r="B7" s="24" t="s">
        <v>58</v>
      </c>
      <c r="C7" s="24" t="s">
        <v>184</v>
      </c>
      <c r="D7" s="23" t="s">
        <v>155</v>
      </c>
      <c r="E7" s="24" t="s">
        <v>246</v>
      </c>
      <c r="F7" s="25" t="n">
        <v>-350</v>
      </c>
      <c r="G7" s="10" t="n">
        <f aca="false">IF(B7="",0,IF(OR(Parametri!$B$3="Tutte",B7=Parametri!$B$3),1,0))</f>
        <v>1</v>
      </c>
    </row>
    <row r="8" customFormat="false" ht="15" hidden="false" customHeight="false" outlineLevel="0" collapsed="false">
      <c r="A8" s="35" t="n">
        <v>46573</v>
      </c>
      <c r="B8" s="24" t="s">
        <v>57</v>
      </c>
      <c r="C8" s="24" t="s">
        <v>158</v>
      </c>
      <c r="D8" s="23" t="s">
        <v>243</v>
      </c>
      <c r="E8" s="24" t="s">
        <v>247</v>
      </c>
      <c r="F8" s="25" t="n">
        <v>-4200</v>
      </c>
      <c r="G8" s="10" t="n">
        <f aca="false">IF(B8="",0,IF(OR(Parametri!$B$3="Tutte",B8=Parametri!$B$3),1,0))</f>
        <v>1</v>
      </c>
    </row>
    <row r="9" customFormat="false" ht="15" hidden="false" customHeight="false" outlineLevel="0" collapsed="false">
      <c r="A9" s="35" t="n">
        <v>46464</v>
      </c>
      <c r="B9" s="24" t="s">
        <v>57</v>
      </c>
      <c r="C9" s="24" t="s">
        <v>171</v>
      </c>
      <c r="D9" s="23" t="s">
        <v>243</v>
      </c>
      <c r="E9" s="24" t="s">
        <v>248</v>
      </c>
      <c r="F9" s="25" t="n">
        <v>-12500</v>
      </c>
      <c r="G9" s="10" t="n">
        <f aca="false">IF(B9="",0,IF(OR(Parametri!$B$3="Tutte",B9=Parametri!$B$3),1,0))</f>
        <v>1</v>
      </c>
    </row>
    <row r="10" customFormat="false" ht="15" hidden="false" customHeight="false" outlineLevel="0" collapsed="false">
      <c r="A10" s="35" t="n">
        <v>46672</v>
      </c>
      <c r="B10" s="24" t="s">
        <v>58</v>
      </c>
      <c r="C10" s="24" t="s">
        <v>178</v>
      </c>
      <c r="D10" s="23" t="s">
        <v>243</v>
      </c>
      <c r="E10" s="24" t="s">
        <v>249</v>
      </c>
      <c r="F10" s="25" t="n">
        <v>-1100</v>
      </c>
      <c r="G10" s="10" t="n">
        <f aca="false">IF(B10="",0,IF(OR(Parametri!$B$3="Tutte",B10=Parametri!$B$3),1,0))</f>
        <v>1</v>
      </c>
    </row>
    <row r="11" customFormat="false" ht="15" hidden="false" customHeight="false" outlineLevel="0" collapsed="false">
      <c r="A11" s="35" t="n">
        <v>46446</v>
      </c>
      <c r="B11" s="24" t="s">
        <v>58</v>
      </c>
      <c r="C11" s="24" t="s">
        <v>181</v>
      </c>
      <c r="D11" s="23" t="s">
        <v>250</v>
      </c>
      <c r="E11" s="24" t="s">
        <v>251</v>
      </c>
      <c r="F11" s="25" t="n">
        <v>2600</v>
      </c>
      <c r="G11" s="10" t="n">
        <f aca="false">IF(B11="",0,IF(OR(Parametri!$B$3="Tutte",B11=Parametri!$B$3),1,0))</f>
        <v>1</v>
      </c>
    </row>
    <row r="12" customFormat="false" ht="15" hidden="false" customHeight="false" outlineLevel="0" collapsed="false">
      <c r="A12" s="35" t="n">
        <v>46477</v>
      </c>
      <c r="B12" s="24" t="s">
        <v>58</v>
      </c>
      <c r="C12" s="24" t="s">
        <v>181</v>
      </c>
      <c r="D12" s="23" t="s">
        <v>250</v>
      </c>
      <c r="E12" s="24" t="s">
        <v>252</v>
      </c>
      <c r="F12" s="25" t="n">
        <v>2600</v>
      </c>
      <c r="G12" s="10" t="n">
        <f aca="false">IF(B12="",0,IF(OR(Parametri!$B$3="Tutte",B12=Parametri!$B$3),1,0))</f>
        <v>1</v>
      </c>
    </row>
    <row r="13" customFormat="false" ht="15" hidden="false" customHeight="false" outlineLevel="0" collapsed="false">
      <c r="A13" s="35" t="n">
        <v>46507</v>
      </c>
      <c r="B13" s="24" t="s">
        <v>58</v>
      </c>
      <c r="C13" s="24" t="s">
        <v>181</v>
      </c>
      <c r="D13" s="23" t="s">
        <v>250</v>
      </c>
      <c r="E13" s="24" t="s">
        <v>253</v>
      </c>
      <c r="F13" s="25" t="n">
        <v>2600</v>
      </c>
      <c r="G13" s="10" t="n">
        <f aca="false">IF(B13="",0,IF(OR(Parametri!$B$3="Tutte",B13=Parametri!$B$3),1,0))</f>
        <v>1</v>
      </c>
    </row>
    <row r="14" customFormat="false" ht="15" hidden="false" customHeight="false" outlineLevel="0" collapsed="false">
      <c r="A14" s="35" t="n">
        <v>46538</v>
      </c>
      <c r="B14" s="24" t="s">
        <v>58</v>
      </c>
      <c r="C14" s="24" t="s">
        <v>181</v>
      </c>
      <c r="D14" s="23" t="s">
        <v>250</v>
      </c>
      <c r="E14" s="24" t="s">
        <v>254</v>
      </c>
      <c r="F14" s="25" t="n">
        <v>2600</v>
      </c>
      <c r="G14" s="10" t="n">
        <f aca="false">IF(B14="",0,IF(OR(Parametri!$B$3="Tutte",B14=Parametri!$B$3),1,0))</f>
        <v>1</v>
      </c>
    </row>
    <row r="15" customFormat="false" ht="15" hidden="false" customHeight="false" outlineLevel="0" collapsed="false">
      <c r="A15" s="35" t="n">
        <v>46568</v>
      </c>
      <c r="B15" s="24" t="s">
        <v>58</v>
      </c>
      <c r="C15" s="24" t="s">
        <v>181</v>
      </c>
      <c r="D15" s="23" t="s">
        <v>250</v>
      </c>
      <c r="E15" s="24" t="s">
        <v>255</v>
      </c>
      <c r="F15" s="25" t="n">
        <v>2600</v>
      </c>
      <c r="G15" s="10" t="n">
        <f aca="false">IF(B15="",0,IF(OR(Parametri!$B$3="Tutte",B15=Parametri!$B$3),1,0))</f>
        <v>1</v>
      </c>
    </row>
    <row r="16" customFormat="false" ht="15" hidden="false" customHeight="false" outlineLevel="0" collapsed="false">
      <c r="A16" s="35" t="n">
        <v>46599</v>
      </c>
      <c r="B16" s="24" t="s">
        <v>58</v>
      </c>
      <c r="C16" s="24" t="s">
        <v>181</v>
      </c>
      <c r="D16" s="23" t="s">
        <v>250</v>
      </c>
      <c r="E16" s="24" t="s">
        <v>256</v>
      </c>
      <c r="F16" s="25" t="n">
        <v>2600</v>
      </c>
      <c r="G16" s="10" t="n">
        <f aca="false">IF(B16="",0,IF(OR(Parametri!$B$3="Tutte",B16=Parametri!$B$3),1,0))</f>
        <v>1</v>
      </c>
    </row>
    <row r="17" customFormat="false" ht="15" hidden="false" customHeight="false" outlineLevel="0" collapsed="false">
      <c r="A17" s="35" t="n">
        <v>46645</v>
      </c>
      <c r="B17" s="24" t="s">
        <v>57</v>
      </c>
      <c r="C17" s="24" t="s">
        <v>237</v>
      </c>
      <c r="D17" s="23" t="s">
        <v>257</v>
      </c>
      <c r="E17" s="24" t="s">
        <v>258</v>
      </c>
      <c r="F17" s="25" t="n">
        <v>-40000</v>
      </c>
      <c r="G17" s="10" t="n">
        <f aca="false">IF(B17="",0,IF(OR(Parametri!$B$3="Tutte",B17=Parametri!$B$3),1,0))</f>
        <v>1</v>
      </c>
    </row>
    <row r="18" customFormat="false" ht="15" hidden="false" customHeight="false" outlineLevel="0" collapsed="false">
      <c r="A18" s="35" t="n">
        <v>46721</v>
      </c>
      <c r="B18" s="24" t="s">
        <v>58</v>
      </c>
      <c r="C18" s="24" t="s">
        <v>190</v>
      </c>
      <c r="D18" s="23" t="s">
        <v>257</v>
      </c>
      <c r="E18" s="24" t="s">
        <v>259</v>
      </c>
      <c r="F18" s="25" t="n">
        <v>21000</v>
      </c>
      <c r="G18" s="10" t="n">
        <f aca="false">IF(B18="",0,IF(OR(Parametri!$B$3="Tutte",B18=Parametri!$B$3),1,0))</f>
        <v>1</v>
      </c>
    </row>
    <row r="19" customFormat="false" ht="15" hidden="false" customHeight="false" outlineLevel="0" collapsed="false">
      <c r="A19" s="35"/>
      <c r="B19" s="24"/>
      <c r="C19" s="24"/>
      <c r="D19" s="23"/>
      <c r="E19" s="24"/>
      <c r="F19" s="25"/>
      <c r="G19" s="10" t="n">
        <f aca="false">IF(B19="",0,IF(OR(Parametri!$B$3="Tutte",B19=Parametri!$B$3),1,0))</f>
        <v>0</v>
      </c>
    </row>
    <row r="20" customFormat="false" ht="15" hidden="false" customHeight="false" outlineLevel="0" collapsed="false">
      <c r="A20" s="35"/>
      <c r="B20" s="24"/>
      <c r="C20" s="24"/>
      <c r="D20" s="23"/>
      <c r="E20" s="24"/>
      <c r="F20" s="25"/>
      <c r="G20" s="10" t="n">
        <f aca="false">IF(B20="",0,IF(OR(Parametri!$B$3="Tutte",B20=Parametri!$B$3),1,0))</f>
        <v>0</v>
      </c>
    </row>
    <row r="21" customFormat="false" ht="15" hidden="false" customHeight="false" outlineLevel="0" collapsed="false">
      <c r="A21" s="35"/>
      <c r="B21" s="24"/>
      <c r="C21" s="24"/>
      <c r="D21" s="23"/>
      <c r="E21" s="24"/>
      <c r="F21" s="25"/>
      <c r="G21" s="10" t="n">
        <f aca="false">IF(B21="",0,IF(OR(Parametri!$B$3="Tutte",B21=Parametri!$B$3),1,0))</f>
        <v>0</v>
      </c>
    </row>
    <row r="22" customFormat="false" ht="15" hidden="false" customHeight="false" outlineLevel="0" collapsed="false">
      <c r="A22" s="35"/>
      <c r="B22" s="24"/>
      <c r="C22" s="24"/>
      <c r="D22" s="23"/>
      <c r="E22" s="24"/>
      <c r="F22" s="25"/>
      <c r="G22" s="10" t="n">
        <f aca="false">IF(B22="",0,IF(OR(Parametri!$B$3="Tutte",B22=Parametri!$B$3),1,0))</f>
        <v>0</v>
      </c>
    </row>
    <row r="23" customFormat="false" ht="15" hidden="false" customHeight="false" outlineLevel="0" collapsed="false">
      <c r="A23" s="35"/>
      <c r="B23" s="24"/>
      <c r="C23" s="24"/>
      <c r="D23" s="23"/>
      <c r="E23" s="24"/>
      <c r="F23" s="25"/>
      <c r="G23" s="10" t="n">
        <f aca="false">IF(B23="",0,IF(OR(Parametri!$B$3="Tutte",B23=Parametri!$B$3),1,0))</f>
        <v>0</v>
      </c>
    </row>
    <row r="24" customFormat="false" ht="15" hidden="false" customHeight="false" outlineLevel="0" collapsed="false">
      <c r="A24" s="35"/>
      <c r="B24" s="24"/>
      <c r="C24" s="24"/>
      <c r="D24" s="23"/>
      <c r="E24" s="24"/>
      <c r="F24" s="25"/>
      <c r="G24" s="10" t="n">
        <f aca="false">IF(B24="",0,IF(OR(Parametri!$B$3="Tutte",B24=Parametri!$B$3),1,0))</f>
        <v>0</v>
      </c>
    </row>
    <row r="25" customFormat="false" ht="15" hidden="false" customHeight="false" outlineLevel="0" collapsed="false">
      <c r="A25" s="35"/>
      <c r="B25" s="24"/>
      <c r="C25" s="24"/>
      <c r="D25" s="23"/>
      <c r="E25" s="24"/>
      <c r="F25" s="25"/>
      <c r="G25" s="10" t="n">
        <f aca="false">IF(B25="",0,IF(OR(Parametri!$B$3="Tutte",B25=Parametri!$B$3),1,0))</f>
        <v>0</v>
      </c>
    </row>
    <row r="26" customFormat="false" ht="15" hidden="false" customHeight="false" outlineLevel="0" collapsed="false">
      <c r="A26" s="35"/>
      <c r="B26" s="24"/>
      <c r="C26" s="24"/>
      <c r="D26" s="23"/>
      <c r="E26" s="24"/>
      <c r="F26" s="25"/>
      <c r="G26" s="10" t="n">
        <f aca="false">IF(B26="",0,IF(OR(Parametri!$B$3="Tutte",B26=Parametri!$B$3),1,0))</f>
        <v>0</v>
      </c>
    </row>
    <row r="27" customFormat="false" ht="15" hidden="false" customHeight="false" outlineLevel="0" collapsed="false">
      <c r="A27" s="35"/>
      <c r="B27" s="24"/>
      <c r="C27" s="24"/>
      <c r="D27" s="23"/>
      <c r="E27" s="24"/>
      <c r="F27" s="25"/>
      <c r="G27" s="10" t="n">
        <f aca="false">IF(B27="",0,IF(OR(Parametri!$B$3="Tutte",B27=Parametri!$B$3),1,0))</f>
        <v>0</v>
      </c>
    </row>
    <row r="28" customFormat="false" ht="15" hidden="false" customHeight="false" outlineLevel="0" collapsed="false">
      <c r="A28" s="35"/>
      <c r="B28" s="24"/>
      <c r="C28" s="24"/>
      <c r="D28" s="23"/>
      <c r="E28" s="24"/>
      <c r="F28" s="25"/>
      <c r="G28" s="10" t="n">
        <f aca="false">IF(B28="",0,IF(OR(Parametri!$B$3="Tutte",B28=Parametri!$B$3),1,0))</f>
        <v>0</v>
      </c>
    </row>
    <row r="29" customFormat="false" ht="15" hidden="false" customHeight="false" outlineLevel="0" collapsed="false">
      <c r="A29" s="35"/>
      <c r="B29" s="24"/>
      <c r="C29" s="24"/>
      <c r="D29" s="23"/>
      <c r="E29" s="24"/>
      <c r="F29" s="25"/>
      <c r="G29" s="10" t="n">
        <f aca="false">IF(B29="",0,IF(OR(Parametri!$B$3="Tutte",B29=Parametri!$B$3),1,0))</f>
        <v>0</v>
      </c>
    </row>
    <row r="30" customFormat="false" ht="15" hidden="false" customHeight="false" outlineLevel="0" collapsed="false">
      <c r="A30" s="35"/>
      <c r="B30" s="24"/>
      <c r="C30" s="24"/>
      <c r="D30" s="23"/>
      <c r="E30" s="24"/>
      <c r="F30" s="25"/>
      <c r="G30" s="10" t="n">
        <f aca="false">IF(B30="",0,IF(OR(Parametri!$B$3="Tutte",B30=Parametri!$B$3),1,0))</f>
        <v>0</v>
      </c>
    </row>
    <row r="31" customFormat="false" ht="15" hidden="false" customHeight="false" outlineLevel="0" collapsed="false">
      <c r="A31" s="35"/>
      <c r="B31" s="24"/>
      <c r="C31" s="24"/>
      <c r="D31" s="23"/>
      <c r="E31" s="24"/>
      <c r="F31" s="25"/>
      <c r="G31" s="10" t="n">
        <f aca="false">IF(B31="",0,IF(OR(Parametri!$B$3="Tutte",B31=Parametri!$B$3),1,0))</f>
        <v>0</v>
      </c>
    </row>
    <row r="32" customFormat="false" ht="15" hidden="false" customHeight="false" outlineLevel="0" collapsed="false">
      <c r="A32" s="35"/>
      <c r="B32" s="24"/>
      <c r="C32" s="24"/>
      <c r="D32" s="23"/>
      <c r="E32" s="24"/>
      <c r="F32" s="25"/>
      <c r="G32" s="10" t="n">
        <f aca="false">IF(B32="",0,IF(OR(Parametri!$B$3="Tutte",B32=Parametri!$B$3),1,0))</f>
        <v>0</v>
      </c>
    </row>
    <row r="33" customFormat="false" ht="15" hidden="false" customHeight="false" outlineLevel="0" collapsed="false">
      <c r="A33" s="35"/>
      <c r="B33" s="24"/>
      <c r="C33" s="24"/>
      <c r="D33" s="23"/>
      <c r="E33" s="24"/>
      <c r="F33" s="25"/>
      <c r="G33" s="10" t="n">
        <f aca="false">IF(B33="",0,IF(OR(Parametri!$B$3="Tutte",B33=Parametri!$B$3),1,0))</f>
        <v>0</v>
      </c>
    </row>
    <row r="34" customFormat="false" ht="15" hidden="false" customHeight="false" outlineLevel="0" collapsed="false">
      <c r="A34" s="35"/>
      <c r="B34" s="24"/>
      <c r="C34" s="24"/>
      <c r="D34" s="23"/>
      <c r="E34" s="24"/>
      <c r="F34" s="25"/>
      <c r="G34" s="10" t="n">
        <f aca="false">IF(B34="",0,IF(OR(Parametri!$B$3="Tutte",B34=Parametri!$B$3),1,0))</f>
        <v>0</v>
      </c>
    </row>
    <row r="35" customFormat="false" ht="15" hidden="false" customHeight="false" outlineLevel="0" collapsed="false">
      <c r="A35" s="35"/>
      <c r="B35" s="24"/>
      <c r="C35" s="24"/>
      <c r="D35" s="23"/>
      <c r="E35" s="24"/>
      <c r="F35" s="25"/>
      <c r="G35" s="10" t="n">
        <f aca="false">IF(B35="",0,IF(OR(Parametri!$B$3="Tutte",B35=Parametri!$B$3),1,0))</f>
        <v>0</v>
      </c>
    </row>
    <row r="36" customFormat="false" ht="15" hidden="false" customHeight="false" outlineLevel="0" collapsed="false">
      <c r="A36" s="35"/>
      <c r="B36" s="24"/>
      <c r="C36" s="24"/>
      <c r="D36" s="23"/>
      <c r="E36" s="24"/>
      <c r="F36" s="25"/>
      <c r="G36" s="10" t="n">
        <f aca="false">IF(B36="",0,IF(OR(Parametri!$B$3="Tutte",B36=Parametri!$B$3),1,0))</f>
        <v>0</v>
      </c>
    </row>
    <row r="37" customFormat="false" ht="15" hidden="false" customHeight="false" outlineLevel="0" collapsed="false">
      <c r="A37" s="35"/>
      <c r="B37" s="24"/>
      <c r="C37" s="24"/>
      <c r="D37" s="23"/>
      <c r="E37" s="24"/>
      <c r="F37" s="25"/>
      <c r="G37" s="10" t="n">
        <f aca="false">IF(B37="",0,IF(OR(Parametri!$B$3="Tutte",B37=Parametri!$B$3),1,0))</f>
        <v>0</v>
      </c>
    </row>
    <row r="38" customFormat="false" ht="15" hidden="false" customHeight="false" outlineLevel="0" collapsed="false">
      <c r="A38" s="35"/>
      <c r="B38" s="24"/>
      <c r="C38" s="24"/>
      <c r="D38" s="23"/>
      <c r="E38" s="24"/>
      <c r="F38" s="25"/>
      <c r="G38" s="10" t="n">
        <f aca="false">IF(B38="",0,IF(OR(Parametri!$B$3="Tutte",B38=Parametri!$B$3),1,0))</f>
        <v>0</v>
      </c>
    </row>
    <row r="39" customFormat="false" ht="15" hidden="false" customHeight="false" outlineLevel="0" collapsed="false">
      <c r="A39" s="35"/>
      <c r="B39" s="24"/>
      <c r="C39" s="24"/>
      <c r="D39" s="23"/>
      <c r="E39" s="24"/>
      <c r="F39" s="25"/>
      <c r="G39" s="10" t="n">
        <f aca="false">IF(B39="",0,IF(OR(Parametri!$B$3="Tutte",B39=Parametri!$B$3),1,0))</f>
        <v>0</v>
      </c>
    </row>
    <row r="40" customFormat="false" ht="15" hidden="false" customHeight="false" outlineLevel="0" collapsed="false">
      <c r="A40" s="35"/>
      <c r="B40" s="24"/>
      <c r="C40" s="24"/>
      <c r="D40" s="23"/>
      <c r="E40" s="24"/>
      <c r="F40" s="25"/>
      <c r="G40" s="10" t="n">
        <f aca="false">IF(B40="",0,IF(OR(Parametri!$B$3="Tutte",B40=Parametri!$B$3),1,0))</f>
        <v>0</v>
      </c>
    </row>
    <row r="41" customFormat="false" ht="15" hidden="false" customHeight="false" outlineLevel="0" collapsed="false">
      <c r="A41" s="35"/>
      <c r="B41" s="24"/>
      <c r="C41" s="24"/>
      <c r="D41" s="23"/>
      <c r="E41" s="24"/>
      <c r="F41" s="25"/>
      <c r="G41" s="10" t="n">
        <f aca="false">IF(B41="",0,IF(OR(Parametri!$B$3="Tutte",B41=Parametri!$B$3),1,0))</f>
        <v>0</v>
      </c>
    </row>
    <row r="42" customFormat="false" ht="15" hidden="false" customHeight="false" outlineLevel="0" collapsed="false">
      <c r="A42" s="35"/>
      <c r="B42" s="24"/>
      <c r="C42" s="24"/>
      <c r="D42" s="23"/>
      <c r="E42" s="24"/>
      <c r="F42" s="25"/>
      <c r="G42" s="10" t="n">
        <f aca="false">IF(B42="",0,IF(OR(Parametri!$B$3="Tutte",B42=Parametri!$B$3),1,0))</f>
        <v>0</v>
      </c>
    </row>
    <row r="43" customFormat="false" ht="15" hidden="false" customHeight="false" outlineLevel="0" collapsed="false">
      <c r="A43" s="35"/>
      <c r="B43" s="24"/>
      <c r="C43" s="24"/>
      <c r="D43" s="23"/>
      <c r="E43" s="24"/>
      <c r="F43" s="25"/>
      <c r="G43" s="10" t="n">
        <f aca="false">IF(B43="",0,IF(OR(Parametri!$B$3="Tutte",B43=Parametri!$B$3),1,0))</f>
        <v>0</v>
      </c>
    </row>
    <row r="44" customFormat="false" ht="15" hidden="false" customHeight="false" outlineLevel="0" collapsed="false">
      <c r="A44" s="35"/>
      <c r="B44" s="24"/>
      <c r="C44" s="24"/>
      <c r="D44" s="23"/>
      <c r="E44" s="24"/>
      <c r="F44" s="25"/>
      <c r="G44" s="10" t="n">
        <f aca="false">IF(B44="",0,IF(OR(Parametri!$B$3="Tutte",B44=Parametri!$B$3),1,0))</f>
        <v>0</v>
      </c>
    </row>
    <row r="45" customFormat="false" ht="15" hidden="false" customHeight="false" outlineLevel="0" collapsed="false">
      <c r="A45" s="35"/>
      <c r="B45" s="24"/>
      <c r="C45" s="24"/>
      <c r="D45" s="23"/>
      <c r="E45" s="24"/>
      <c r="F45" s="25"/>
      <c r="G45" s="10" t="n">
        <f aca="false">IF(B45="",0,IF(OR(Parametri!$B$3="Tutte",B45=Parametri!$B$3),1,0))</f>
        <v>0</v>
      </c>
    </row>
    <row r="46" customFormat="false" ht="15" hidden="false" customHeight="false" outlineLevel="0" collapsed="false">
      <c r="A46" s="35"/>
      <c r="B46" s="24"/>
      <c r="C46" s="24"/>
      <c r="D46" s="23"/>
      <c r="E46" s="24"/>
      <c r="F46" s="25"/>
      <c r="G46" s="10" t="n">
        <f aca="false">IF(B46="",0,IF(OR(Parametri!$B$3="Tutte",B46=Parametri!$B$3),1,0))</f>
        <v>0</v>
      </c>
    </row>
    <row r="47" customFormat="false" ht="15" hidden="false" customHeight="false" outlineLevel="0" collapsed="false">
      <c r="A47" s="35"/>
      <c r="B47" s="24"/>
      <c r="C47" s="24"/>
      <c r="D47" s="23"/>
      <c r="E47" s="24"/>
      <c r="F47" s="25"/>
      <c r="G47" s="10" t="n">
        <f aca="false">IF(B47="",0,IF(OR(Parametri!$B$3="Tutte",B47=Parametri!$B$3),1,0))</f>
        <v>0</v>
      </c>
    </row>
    <row r="48" customFormat="false" ht="15" hidden="false" customHeight="false" outlineLevel="0" collapsed="false">
      <c r="A48" s="35"/>
      <c r="B48" s="24"/>
      <c r="C48" s="24"/>
      <c r="D48" s="23"/>
      <c r="E48" s="24"/>
      <c r="F48" s="25"/>
      <c r="G48" s="10" t="n">
        <f aca="false">IF(B48="",0,IF(OR(Parametri!$B$3="Tutte",B48=Parametri!$B$3),1,0))</f>
        <v>0</v>
      </c>
    </row>
    <row r="49" customFormat="false" ht="15" hidden="false" customHeight="false" outlineLevel="0" collapsed="false">
      <c r="A49" s="35"/>
      <c r="B49" s="24"/>
      <c r="C49" s="24"/>
      <c r="D49" s="23"/>
      <c r="E49" s="24"/>
      <c r="F49" s="25"/>
      <c r="G49" s="10" t="n">
        <f aca="false">IF(B49="",0,IF(OR(Parametri!$B$3="Tutte",B49=Parametri!$B$3),1,0))</f>
        <v>0</v>
      </c>
    </row>
    <row r="50" customFormat="false" ht="15" hidden="false" customHeight="false" outlineLevel="0" collapsed="false">
      <c r="A50" s="35"/>
      <c r="B50" s="24"/>
      <c r="C50" s="24"/>
      <c r="D50" s="23"/>
      <c r="E50" s="24"/>
      <c r="F50" s="25"/>
      <c r="G50" s="10" t="n">
        <f aca="false">IF(B50="",0,IF(OR(Parametri!$B$3="Tutte",B50=Parametri!$B$3),1,0))</f>
        <v>0</v>
      </c>
    </row>
    <row r="51" customFormat="false" ht="15" hidden="false" customHeight="false" outlineLevel="0" collapsed="false">
      <c r="A51" s="35"/>
      <c r="B51" s="24"/>
      <c r="C51" s="24"/>
      <c r="D51" s="23"/>
      <c r="E51" s="24"/>
      <c r="F51" s="25"/>
      <c r="G51" s="10" t="n">
        <f aca="false">IF(B51="",0,IF(OR(Parametri!$B$3="Tutte",B51=Parametri!$B$3),1,0))</f>
        <v>0</v>
      </c>
    </row>
    <row r="52" customFormat="false" ht="15" hidden="false" customHeight="false" outlineLevel="0" collapsed="false">
      <c r="A52" s="35"/>
      <c r="B52" s="24"/>
      <c r="C52" s="24"/>
      <c r="D52" s="23"/>
      <c r="E52" s="24"/>
      <c r="F52" s="25"/>
      <c r="G52" s="10" t="n">
        <f aca="false">IF(B52="",0,IF(OR(Parametri!$B$3="Tutte",B52=Parametri!$B$3),1,0))</f>
        <v>0</v>
      </c>
    </row>
    <row r="53" customFormat="false" ht="15" hidden="false" customHeight="false" outlineLevel="0" collapsed="false">
      <c r="A53" s="35"/>
      <c r="B53" s="24"/>
      <c r="C53" s="24"/>
      <c r="D53" s="23"/>
      <c r="E53" s="24"/>
      <c r="F53" s="25"/>
      <c r="G53" s="10" t="n">
        <f aca="false">IF(B53="",0,IF(OR(Parametri!$B$3="Tutte",B53=Parametri!$B$3),1,0))</f>
        <v>0</v>
      </c>
    </row>
    <row r="54" customFormat="false" ht="15" hidden="false" customHeight="false" outlineLevel="0" collapsed="false">
      <c r="A54" s="35"/>
      <c r="B54" s="24"/>
      <c r="C54" s="24"/>
      <c r="D54" s="23"/>
      <c r="E54" s="24"/>
      <c r="F54" s="25"/>
      <c r="G54" s="10" t="n">
        <f aca="false">IF(B54="",0,IF(OR(Parametri!$B$3="Tutte",B54=Parametri!$B$3),1,0))</f>
        <v>0</v>
      </c>
    </row>
    <row r="55" customFormat="false" ht="15" hidden="false" customHeight="false" outlineLevel="0" collapsed="false">
      <c r="A55" s="35"/>
      <c r="B55" s="24"/>
      <c r="C55" s="24"/>
      <c r="D55" s="23"/>
      <c r="E55" s="24"/>
      <c r="F55" s="25"/>
      <c r="G55" s="10" t="n">
        <f aca="false">IF(B55="",0,IF(OR(Parametri!$B$3="Tutte",B55=Parametri!$B$3),1,0))</f>
        <v>0</v>
      </c>
    </row>
    <row r="56" customFormat="false" ht="15" hidden="false" customHeight="false" outlineLevel="0" collapsed="false">
      <c r="A56" s="35"/>
      <c r="B56" s="24"/>
      <c r="C56" s="24"/>
      <c r="D56" s="23"/>
      <c r="E56" s="24"/>
      <c r="F56" s="25"/>
      <c r="G56" s="10" t="n">
        <f aca="false">IF(B56="",0,IF(OR(Parametri!$B$3="Tutte",B56=Parametri!$B$3),1,0))</f>
        <v>0</v>
      </c>
    </row>
    <row r="57" customFormat="false" ht="15" hidden="false" customHeight="false" outlineLevel="0" collapsed="false">
      <c r="A57" s="35"/>
      <c r="B57" s="24"/>
      <c r="C57" s="24"/>
      <c r="D57" s="23"/>
      <c r="E57" s="24"/>
      <c r="F57" s="25"/>
      <c r="G57" s="10" t="n">
        <f aca="false">IF(B57="",0,IF(OR(Parametri!$B$3="Tutte",B57=Parametri!$B$3),1,0))</f>
        <v>0</v>
      </c>
    </row>
    <row r="58" customFormat="false" ht="15" hidden="false" customHeight="false" outlineLevel="0" collapsed="false">
      <c r="A58" s="35"/>
      <c r="B58" s="24"/>
      <c r="C58" s="24"/>
      <c r="D58" s="23"/>
      <c r="E58" s="24"/>
      <c r="F58" s="25"/>
      <c r="G58" s="10" t="n">
        <f aca="false">IF(B58="",0,IF(OR(Parametri!$B$3="Tutte",B58=Parametri!$B$3),1,0))</f>
        <v>0</v>
      </c>
    </row>
    <row r="59" customFormat="false" ht="15" hidden="false" customHeight="false" outlineLevel="0" collapsed="false">
      <c r="A59" s="35"/>
      <c r="B59" s="24"/>
      <c r="C59" s="24"/>
      <c r="D59" s="23"/>
      <c r="E59" s="24"/>
      <c r="F59" s="25"/>
      <c r="G59" s="10" t="n">
        <f aca="false">IF(B59="",0,IF(OR(Parametri!$B$3="Tutte",B59=Parametri!$B$3),1,0))</f>
        <v>0</v>
      </c>
    </row>
    <row r="60" customFormat="false" ht="15" hidden="false" customHeight="false" outlineLevel="0" collapsed="false">
      <c r="A60" s="35"/>
      <c r="B60" s="24"/>
      <c r="C60" s="24"/>
      <c r="D60" s="23"/>
      <c r="E60" s="24"/>
      <c r="F60" s="25"/>
      <c r="G60" s="10" t="n">
        <f aca="false">IF(B60="",0,IF(OR(Parametri!$B$3="Tutte",B60=Parametri!$B$3),1,0))</f>
        <v>0</v>
      </c>
    </row>
    <row r="61" customFormat="false" ht="15" hidden="false" customHeight="false" outlineLevel="0" collapsed="false">
      <c r="A61" s="35"/>
      <c r="B61" s="24"/>
      <c r="C61" s="24"/>
      <c r="D61" s="23"/>
      <c r="E61" s="24"/>
      <c r="F61" s="25"/>
      <c r="G61" s="10" t="n">
        <f aca="false">IF(B61="",0,IF(OR(Parametri!$B$3="Tutte",B61=Parametri!$B$3),1,0))</f>
        <v>0</v>
      </c>
    </row>
    <row r="62" customFormat="false" ht="15" hidden="false" customHeight="false" outlineLevel="0" collapsed="false">
      <c r="A62" s="35"/>
      <c r="B62" s="24"/>
      <c r="C62" s="24"/>
      <c r="D62" s="23"/>
      <c r="E62" s="24"/>
      <c r="F62" s="25"/>
      <c r="G62" s="10" t="n">
        <f aca="false">IF(B62="",0,IF(OR(Parametri!$B$3="Tutte",B62=Parametri!$B$3),1,0))</f>
        <v>0</v>
      </c>
    </row>
    <row r="63" customFormat="false" ht="15" hidden="false" customHeight="false" outlineLevel="0" collapsed="false">
      <c r="A63" s="35"/>
      <c r="B63" s="24"/>
      <c r="C63" s="24"/>
      <c r="D63" s="23"/>
      <c r="E63" s="24"/>
      <c r="F63" s="25"/>
      <c r="G63" s="10" t="n">
        <f aca="false">IF(B63="",0,IF(OR(Parametri!$B$3="Tutte",B63=Parametri!$B$3),1,0))</f>
        <v>0</v>
      </c>
    </row>
    <row r="64" customFormat="false" ht="15" hidden="false" customHeight="false" outlineLevel="0" collapsed="false">
      <c r="A64" s="35"/>
      <c r="B64" s="24"/>
      <c r="C64" s="24"/>
      <c r="D64" s="23"/>
      <c r="E64" s="24"/>
      <c r="F64" s="25"/>
      <c r="G64" s="10" t="n">
        <f aca="false">IF(B64="",0,IF(OR(Parametri!$B$3="Tutte",B64=Parametri!$B$3),1,0))</f>
        <v>0</v>
      </c>
    </row>
  </sheetData>
  <dataValidations count="1">
    <dataValidation allowBlank="false" errorStyle="stop" operator="between" showDropDown="false" showErrorMessage="false" showInputMessage="false" sqref="D5:D64" type="list">
      <formula1>"Manutenzione straordinaria,Rateizzazione arretrati,Compravendita,Commerciale,Altro"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2026-10-14T10:39:44Z</dcterms:created>
  <dc:creator>openpyxl</dc:creator>
  <dc:description/>
  <dc:language>en-US</dc:language>
  <cp:lastModifiedBy/>
  <dcterms:modified xsi:type="dcterms:W3CDTF">2026-10-14T10:39:44Z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