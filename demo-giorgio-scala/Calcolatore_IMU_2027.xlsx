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struzioni" sheetId="1" state="visible" r:id="rId3"/>
    <sheet name="Calcolo IMU" sheetId="2" state="visible" r:id="rId4"/>
    <sheet name="Riepilogo F24" sheetId="3" state="visible" r:id="rId5"/>
    <sheet name="Budget vs Dichiarazione" sheetId="4" state="visible" r:id="rId6"/>
    <sheet name="Calcolatore rapido" sheetId="5" state="visible" r:id="rId7"/>
    <sheet name="Parametr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<sst xmlns="http://schemas.openxmlformats.org/spreadsheetml/2006/main" count="280" uniqueCount="152">
  <si>
    <t xml:space="preserve">Calcolatore IMU 2027 – patrimonio Immobiliare Uno &amp; Immobiliare Due</t>
  </si>
  <si>
    <t xml:space="preserve">COME FUNZIONA</t>
  </si>
  <si>
    <t xml:space="preserve">Base imponibile = rendita catastale × 1,05 (rivalutazione) × moltiplicatore della categoria × (1 − riduzione).</t>
  </si>
  <si>
    <t xml:space="preserve">IMU = base imponibile × quota di possesso × aliquota comunale (‰) × mesi imponibili / 12.</t>
  </si>
  <si>
    <t xml:space="preserve">Mese imponibile: si conta il mese se il possesso/la locazione dura più della metà dei giorni del mese.</t>
  </si>
  <si>
    <t xml:space="preserve">BENI MERCE (fabbricati costruiti dall'impresa e destinati alla vendita)</t>
  </si>
  <si>
    <t xml:space="preserve">Esenti IMU finché non locati (L. 160/2019 c. 751). Se 'Bene merce' = Sì, i mesi imponibili sono solo i mesi di locazione: è la logica della dichiarazione IMU che 'cristallizza' il dovuto sui mesi effettivi.</t>
  </si>
  <si>
    <t xml:space="preserve">ACCONTO E SALDO</t>
  </si>
  <si>
    <t xml:space="preserve">Acconto 16 giugno: primo semestre con aliquote dell'anno precedente. Saldo 16 dicembre: imposta annua con aliquote deliberate per l'anno in corso meno l'acconto (conguaglio). Dichiarazione IMU: entro il 30 giugno dell'anno successivo.</t>
  </si>
  <si>
    <t xml:space="preserve">IMMOBILI DEL GRUPPO D</t>
  </si>
  <si>
    <t xml:space="preserve">Quota Stato 7,6‰ (codice tributo 3925); l'eccedenza deliberata dal Comune va con codice 3930. Gli altri fabbricati usano il codice 3918.</t>
  </si>
  <si>
    <t xml:space="preserve">FOGLI</t>
  </si>
  <si>
    <t xml:space="preserve">Parametri: moltiplicatori per categoria, aliquote per Comune (anno precedente e corrente). Calcolo IMU: un rigo per immobile. Riepilogo F24: importi per società, Comune e codice tributo. Budget vs Dichiarazione: IMU piena (budget) vs dovuta (dichiarazione) e risparmio da sfitto. Calcolatore rapido: simulazione su un singolo immobile, come i calcolatori online.</t>
  </si>
  <si>
    <t xml:space="preserve">ATTENZIONE: aliquote demo. Verificare sempre la delibera del Comune sul portale del MEF (finanze.gov.it) e validare il calcolo con il commercialista.</t>
  </si>
  <si>
    <t xml:space="preserve">Celle gialle = dati da inserire/modificare. Celle bianche = formule.</t>
  </si>
  <si>
    <t xml:space="preserve">Calcolo IMU 2027 per immobile</t>
  </si>
  <si>
    <t xml:space="preserve">Le colonne gialle sono i parametri di ogni immobile</t>
  </si>
  <si>
    <t xml:space="preserve">Società</t>
  </si>
  <si>
    <t xml:space="preserve">Immobile</t>
  </si>
  <si>
    <t xml:space="preserve">Descrizione</t>
  </si>
  <si>
    <t xml:space="preserve">Comune</t>
  </si>
  <si>
    <t xml:space="preserve">Cat.</t>
  </si>
  <si>
    <t xml:space="preserve">Rendita catastale</t>
  </si>
  <si>
    <t xml:space="preserve">Quota possesso</t>
  </si>
  <si>
    <t xml:space="preserve">Bene merce</t>
  </si>
  <si>
    <t xml:space="preserve">Mesi possesso 1° sem</t>
  </si>
  <si>
    <t xml:space="preserve">Mesi possesso 2° sem</t>
  </si>
  <si>
    <t xml:space="preserve">Mesi locati 1° sem</t>
  </si>
  <si>
    <t xml:space="preserve">Mesi locati 2° sem</t>
  </si>
  <si>
    <t xml:space="preserve">Riduzione (inagibile/storico)</t>
  </si>
  <si>
    <t xml:space="preserve">Rendita rivalutata</t>
  </si>
  <si>
    <t xml:space="preserve">Moltipl.</t>
  </si>
  <si>
    <t xml:space="preserve">Base imponibile</t>
  </si>
  <si>
    <t xml:space="preserve">Aliquota acconto ‰</t>
  </si>
  <si>
    <t xml:space="preserve">Aliquota saldo ‰</t>
  </si>
  <si>
    <t xml:space="preserve">Mesi imponibili 1° sem</t>
  </si>
  <si>
    <t xml:space="preserve">Mesi imponibili 2° sem</t>
  </si>
  <si>
    <t xml:space="preserve">IMU piena (budget)</t>
  </si>
  <si>
    <t xml:space="preserve">Acconto 16/06</t>
  </si>
  <si>
    <t xml:space="preserve">IMU annua dovuta</t>
  </si>
  <si>
    <t xml:space="preserve">Saldo 16/12</t>
  </si>
  <si>
    <t xml:space="preserve">Risparmio vs budget</t>
  </si>
  <si>
    <t xml:space="preserve">Gruppo</t>
  </si>
  <si>
    <t xml:space="preserve">Cod. tributo Comune</t>
  </si>
  <si>
    <t xml:space="preserve">di cui quota Stato (3925)</t>
  </si>
  <si>
    <t xml:space="preserve">di cui quota Comune</t>
  </si>
  <si>
    <t xml:space="preserve">Acconto quota Stato</t>
  </si>
  <si>
    <t xml:space="preserve">Saldo quota Stato</t>
  </si>
  <si>
    <t xml:space="preserve">Cod. catastale</t>
  </si>
  <si>
    <t xml:space="preserve">IU</t>
  </si>
  <si>
    <t xml:space="preserve">IU-01</t>
  </si>
  <si>
    <t xml:space="preserve">Ufficio Centro Direzionale Is. E3</t>
  </si>
  <si>
    <t xml:space="preserve">Napoli</t>
  </si>
  <si>
    <t xml:space="preserve">A/10</t>
  </si>
  <si>
    <t xml:space="preserve">Sì</t>
  </si>
  <si>
    <t xml:space="preserve">IU-02</t>
  </si>
  <si>
    <t xml:space="preserve">Negozio Via Toledo</t>
  </si>
  <si>
    <t xml:space="preserve">C/1</t>
  </si>
  <si>
    <t xml:space="preserve">IU-03</t>
  </si>
  <si>
    <t xml:space="preserve">Appartamento Vomero</t>
  </si>
  <si>
    <t xml:space="preserve">A/2</t>
  </si>
  <si>
    <t xml:space="preserve">IU-04</t>
  </si>
  <si>
    <t xml:space="preserve">Appartamento Via Napoli</t>
  </si>
  <si>
    <t xml:space="preserve">Pozzuoli</t>
  </si>
  <si>
    <t xml:space="preserve">A/3</t>
  </si>
  <si>
    <t xml:space="preserve">IU-05</t>
  </si>
  <si>
    <t xml:space="preserve">Box auto Via Napoli</t>
  </si>
  <si>
    <t xml:space="preserve">C/6</t>
  </si>
  <si>
    <t xml:space="preserve">IU-06</t>
  </si>
  <si>
    <t xml:space="preserve">Capannone logistico</t>
  </si>
  <si>
    <t xml:space="preserve">Casoria</t>
  </si>
  <si>
    <t xml:space="preserve">D/7</t>
  </si>
  <si>
    <t xml:space="preserve">No</t>
  </si>
  <si>
    <t xml:space="preserve">ID</t>
  </si>
  <si>
    <t xml:space="preserve">ID-01</t>
  </si>
  <si>
    <t xml:space="preserve">Appartamento Corso Trieste</t>
  </si>
  <si>
    <t xml:space="preserve">Caserta</t>
  </si>
  <si>
    <t xml:space="preserve">ID-02</t>
  </si>
  <si>
    <t xml:space="preserve">Ufficio Via Roma</t>
  </si>
  <si>
    <t xml:space="preserve">ID-03</t>
  </si>
  <si>
    <t xml:space="preserve">Negozio Corso Vittorio Emanuele</t>
  </si>
  <si>
    <t xml:space="preserve">Salerno</t>
  </si>
  <si>
    <t xml:space="preserve">ID-04</t>
  </si>
  <si>
    <t xml:space="preserve">Appartamento Lungomare</t>
  </si>
  <si>
    <t xml:space="preserve">ID-05</t>
  </si>
  <si>
    <t xml:space="preserve">Ufficio Centro Direzionale Is. G1</t>
  </si>
  <si>
    <t xml:space="preserve">ID-06</t>
  </si>
  <si>
    <t xml:space="preserve">Posto auto Via Pergolesi</t>
  </si>
  <si>
    <t xml:space="preserve">TOTALE</t>
  </si>
  <si>
    <t xml:space="preserve">Riepilogo versamenti F24 – Sezione IMU 2027</t>
  </si>
  <si>
    <t xml:space="preserve">Codice ente</t>
  </si>
  <si>
    <t xml:space="preserve">Codice tributo</t>
  </si>
  <si>
    <t xml:space="preserve">Totale</t>
  </si>
  <si>
    <t xml:space="preserve">3918</t>
  </si>
  <si>
    <t xml:space="preserve">3925</t>
  </si>
  <si>
    <t xml:space="preserve">3930</t>
  </si>
  <si>
    <t xml:space="preserve">Totale Immobiliare Uno S.r.l.</t>
  </si>
  <si>
    <t xml:space="preserve">Totale Immobiliare Due S.r.l.</t>
  </si>
  <si>
    <t xml:space="preserve">TOTALE GENERALE</t>
  </si>
  <si>
    <t xml:space="preserve">Controllo: il totale deve coincidere con 'Calcolo IMU' (IMU annua dovuta) →</t>
  </si>
  <si>
    <t xml:space="preserve">IMU piena (budget) vs IMU dovuta (dichiarazione)</t>
  </si>
  <si>
    <t xml:space="preserve">Il budget di fine anno considera l'IMU piena; la dichiarazione la cristallizza sui mesi effettivi di locazione</t>
  </si>
  <si>
    <t xml:space="preserve">IMU dovuta</t>
  </si>
  <si>
    <t xml:space="preserve">Risparmio</t>
  </si>
  <si>
    <t xml:space="preserve">Risparmio %</t>
  </si>
  <si>
    <t xml:space="preserve">Immobiliare Uno S.r.l.</t>
  </si>
  <si>
    <t xml:space="preserve">Immobiliare Due S.r.l.</t>
  </si>
  <si>
    <t xml:space="preserve">Calcolatore IMU rapido – singolo immobile</t>
  </si>
  <si>
    <t xml:space="preserve">Inserisci i dati nelle celle gialle</t>
  </si>
  <si>
    <t xml:space="preserve">Categoria catastale</t>
  </si>
  <si>
    <t xml:space="preserve">Categorie e Comuni disponibili: vedi foglio Parametri.</t>
  </si>
  <si>
    <t xml:space="preserve">Quota di possesso</t>
  </si>
  <si>
    <t xml:space="preserve">Mesi imponibili (anno)</t>
  </si>
  <si>
    <t xml:space="preserve">Mesi imponibili 1° semestre</t>
  </si>
  <si>
    <t xml:space="preserve">Riduzione (50% inagibile / storico)</t>
  </si>
  <si>
    <t xml:space="preserve">Rendita rivalutata (+5%)</t>
  </si>
  <si>
    <t xml:space="preserve">Moltiplicatore</t>
  </si>
  <si>
    <t xml:space="preserve">Aliquota anno precedente ‰</t>
  </si>
  <si>
    <t xml:space="preserve">Aliquota anno corrente ‰</t>
  </si>
  <si>
    <t xml:space="preserve">Acconto 16 giugno</t>
  </si>
  <si>
    <t xml:space="preserve">Saldo 16 dicembre</t>
  </si>
  <si>
    <t xml:space="preserve">Gruppo catastale</t>
  </si>
  <si>
    <t xml:space="preserve">Codice tributo Comune</t>
  </si>
  <si>
    <t xml:space="preserve">Parametri IMU</t>
  </si>
  <si>
    <t xml:space="preserve">Anno d'imposta</t>
  </si>
  <si>
    <t xml:space="preserve">Quota Stato gruppo D (‰)</t>
  </si>
  <si>
    <t xml:space="preserve">Rivalutazione rendita</t>
  </si>
  <si>
    <t xml:space="preserve">Categoria</t>
  </si>
  <si>
    <t xml:space="preserve">Aliquota anno prec. ‰</t>
  </si>
  <si>
    <t xml:space="preserve">Aliquota anno corr. ‰</t>
  </si>
  <si>
    <t xml:space="preserve">A/1</t>
  </si>
  <si>
    <t xml:space="preserve">A</t>
  </si>
  <si>
    <t xml:space="preserve">F839</t>
  </si>
  <si>
    <t xml:space="preserve">G964</t>
  </si>
  <si>
    <t xml:space="preserve">B990</t>
  </si>
  <si>
    <t xml:space="preserve">A/4</t>
  </si>
  <si>
    <t xml:space="preserve">B963</t>
  </si>
  <si>
    <t xml:space="preserve">A/7</t>
  </si>
  <si>
    <t xml:space="preserve">H703</t>
  </si>
  <si>
    <t xml:space="preserve">A/8</t>
  </si>
  <si>
    <t xml:space="preserve">A10</t>
  </si>
  <si>
    <t xml:space="preserve">B/1</t>
  </si>
  <si>
    <t xml:space="preserve">B</t>
  </si>
  <si>
    <t xml:space="preserve">C1</t>
  </si>
  <si>
    <t xml:space="preserve">C/2</t>
  </si>
  <si>
    <t xml:space="preserve">C</t>
  </si>
  <si>
    <t xml:space="preserve">C/3</t>
  </si>
  <si>
    <t xml:space="preserve">C/7</t>
  </si>
  <si>
    <t xml:space="preserve">D/1</t>
  </si>
  <si>
    <t xml:space="preserve">D</t>
  </si>
  <si>
    <t xml:space="preserve">D/5</t>
  </si>
  <si>
    <t xml:space="preserve">D/8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</si>
</sst>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[$€]"/>
    <numFmt numFmtId="166" formatCode="0%"/>
    <numFmt numFmtId="167" formatCode="0"/>
    <numFmt numFmtId="168" formatCode="General"/>
    <numFmt numFmtId="169" formatCode="0.00"/>
    <numFmt numFmtId="170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14B67"/>
      <name val="Cambria"/>
      <family val="0"/>
      <charset val="1"/>
    </font>
    <font>
      <b val="true"/>
      <sz val="11"/>
      <color rgb="FF714B67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714B67"/>
        <bgColor rgb="FF666666"/>
      </patternFill>
    </fill>
    <fill>
      <patternFill patternType="solid">
        <fgColor rgb="FFD9D2D8"/>
        <bgColor rgb="FFD9D9D9"/>
      </patternFill>
    </fill>
    <fill>
      <patternFill patternType="solid">
        <fgColor rgb="FFEDE7E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714B67"/>
      <rgbColor rgb="FFFFF8DC"/>
      <rgbColor rgb="FFEDE7EC"/>
      <rgbColor rgb="FF660066"/>
      <rgbColor rgb="FFFF8080"/>
      <rgbColor rgb="FF0066CC"/>
      <rgbColor rgb="FFD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IMU piena vs dovuta per Comune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'Budget vs Dichiarazione'!C4</c:f>
              <c:strCache>
                <c:ptCount val="1"/>
                <c:pt idx="0">
                  <c:v>IMU piena (budget)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Dichiarazione'!$B$5:$B$11</c:f>
              <c:strCache>
                <c:ptCount val="7"/>
                <c:pt idx="0">
                  <c:v>Napoli</c:v>
                </c:pt>
                <c:pt idx="1">
                  <c:v>Pozzuoli</c:v>
                </c:pt>
                <c:pt idx="2">
                  <c:v>Casoria</c:v>
                </c:pt>
                <c:pt idx="3">
                  <c:v>Napoli</c:v>
                </c:pt>
                <c:pt idx="4">
                  <c:v>Pozzuoli</c:v>
                </c:pt>
                <c:pt idx="5">
                  <c:v>Caserta</c:v>
                </c:pt>
                <c:pt idx="6">
                  <c:v>Salerno</c:v>
                </c:pt>
              </c:strCache>
            </c:strRef>
          </c:cat>
          <c:val>
            <c:numRef>
              <c:f>'Budget vs Dichiarazione'!$C$5:$C$11</c:f>
              <c:numCache>
                <c:formatCode>#,##0.00[$€]</c:formatCode>
                <c:ptCount val="7"/>
                <c:pt idx="0">
                  <c:v>6848.29</c:v>
                </c:pt>
                <c:pt idx="1">
                  <c:v>1673.95</c:v>
                </c:pt>
                <c:pt idx="2">
                  <c:v>7089.81</c:v>
                </c:pt>
                <c:pt idx="3">
                  <c:v>2760.24</c:v>
                </c:pt>
                <c:pt idx="4">
                  <c:v>169.18</c:v>
                </c:pt>
                <c:pt idx="5">
                  <c:v>3561.6</c:v>
                </c:pt>
                <c:pt idx="6">
                  <c:v>3194.1</c:v>
                </c:pt>
              </c:numCache>
            </c:numRef>
          </c:val>
        </c:ser>
        <c:ser>
          <c:idx val="1"/>
          <c:order val="1"/>
          <c:tx>
            <c:strRef>
              <c:f>'Budget vs Dichiarazione'!D4</c:f>
              <c:strCache>
                <c:ptCount val="1"/>
                <c:pt idx="0">
                  <c:v>IMU dovuta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Dichiarazione'!$B$5:$B$11</c:f>
              <c:strCache>
                <c:ptCount val="7"/>
                <c:pt idx="0">
                  <c:v>Napoli</c:v>
                </c:pt>
                <c:pt idx="1">
                  <c:v>Pozzuoli</c:v>
                </c:pt>
                <c:pt idx="2">
                  <c:v>Casoria</c:v>
                </c:pt>
                <c:pt idx="3">
                  <c:v>Napoli</c:v>
                </c:pt>
                <c:pt idx="4">
                  <c:v>Pozzuoli</c:v>
                </c:pt>
                <c:pt idx="5">
                  <c:v>Caserta</c:v>
                </c:pt>
                <c:pt idx="6">
                  <c:v>Salerno</c:v>
                </c:pt>
              </c:strCache>
            </c:strRef>
          </c:cat>
          <c:val>
            <c:numRef>
              <c:f>'Budget vs Dichiarazione'!$D$5:$D$11</c:f>
              <c:numCache>
                <c:formatCode>#,##0.00[$€]</c:formatCode>
                <c:ptCount val="7"/>
                <c:pt idx="0">
                  <c:v>6848.29</c:v>
                </c:pt>
                <c:pt idx="1">
                  <c:v>1673.95</c:v>
                </c:pt>
                <c:pt idx="2">
                  <c:v>7089.81</c:v>
                </c:pt>
                <c:pt idx="3">
                  <c:v>2760.24</c:v>
                </c:pt>
                <c:pt idx="4">
                  <c:v>0</c:v>
                </c:pt>
                <c:pt idx="5">
                  <c:v>3561.6</c:v>
                </c:pt>
                <c:pt idx="6">
                  <c:v>2587.73</c:v>
                </c:pt>
              </c:numCache>
            </c:numRef>
          </c:val>
        </c:ser>
        <c:gapWidth val="150"/>
        <c:overlap val="0"/>
        <c:axId val="91332310"/>
        <c:axId val="46964242"/>
      </c:barChart>
      <c:catAx>
        <c:axId val="91332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64242"/>
        <c:crosses val="autoZero"/>
        <c:auto val="1"/>
        <c:lblAlgn val="ctr"/>
        <c:lblOffset val="100"/>
        <c:noMultiLvlLbl val="0"/>
      </c:catAx>
      <c:valAx>
        <c:axId val="46964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[$€]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323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130680</xdr:rowOff>
    </xdr:from>
    <xdr:to>
      <xdr:col>5</xdr:col>
      <xdr:colOff>276840</xdr:colOff>
      <xdr:row>31</xdr:row>
      <xdr:rowOff>153000</xdr:rowOff>
    </xdr:to>
    <xdr:graphicFrame>
      <xdr:nvGraphicFramePr>
        <xdr:cNvPr id="0" name="Chart 1"/>
        <xdr:cNvGraphicFramePr/>
      </xdr:nvGraphicFramePr>
      <xdr:xfrm>
        <a:off x="0" y="34480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3" t="s">
        <v>5</v>
      </c>
    </row>
    <row r="9" customFormat="false" ht="28.3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7</v>
      </c>
    </row>
    <row r="12" customFormat="false" ht="28.3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2" t="s">
        <v>11</v>
      </c>
    </row>
    <row r="18" customFormat="false" ht="41.7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3"/>
    </row>
    <row r="20" customFormat="false" ht="28.35" hidden="false" customHeight="false" outlineLevel="0" collapsed="false">
      <c r="A20" s="3" t="s">
        <v>13</v>
      </c>
    </row>
    <row r="22" customFormat="false" ht="15" hidden="false" customHeight="false" outlineLevel="0" collapsed="false">
      <c r="A22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12" min="9" style="0" width="8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16" min="16" style="0" width="12"/>
    <col collapsed="false" customWidth="true" hidden="false" outlineLevel="0" max="20" min="17" style="0" width="8"/>
    <col collapsed="false" customWidth="true" hidden="false" outlineLevel="0" max="25" min="21" style="0" width="12"/>
    <col collapsed="false" customWidth="true" hidden="false" outlineLevel="0" max="26" min="26" style="0" width="7"/>
    <col collapsed="false" customWidth="true" hidden="false" outlineLevel="0" max="27" min="27" style="0" width="9"/>
    <col collapsed="false" customWidth="true" hidden="false" outlineLevel="0" max="29" min="28" style="0" width="12"/>
    <col collapsed="false" customWidth="true" hidden="false" outlineLevel="0" max="31" min="30" style="0" width="11"/>
    <col collapsed="false" customWidth="true" hidden="false" outlineLevel="0" max="32" min="32" style="0" width="9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5" t="s">
        <v>16</v>
      </c>
    </row>
    <row r="4" customFormat="false" ht="31.5" hidden="false" customHeight="true" outlineLevel="0" collapsed="false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 t="s">
        <v>29</v>
      </c>
      <c r="N4" s="6" t="s">
        <v>30</v>
      </c>
      <c r="O4" s="6" t="s">
        <v>31</v>
      </c>
      <c r="P4" s="6" t="s">
        <v>32</v>
      </c>
      <c r="Q4" s="6" t="s">
        <v>33</v>
      </c>
      <c r="R4" s="6" t="s">
        <v>34</v>
      </c>
      <c r="S4" s="6" t="s">
        <v>35</v>
      </c>
      <c r="T4" s="6" t="s">
        <v>36</v>
      </c>
      <c r="U4" s="6" t="s">
        <v>37</v>
      </c>
      <c r="V4" s="6" t="s">
        <v>38</v>
      </c>
      <c r="W4" s="6" t="s">
        <v>39</v>
      </c>
      <c r="X4" s="6" t="s">
        <v>40</v>
      </c>
      <c r="Y4" s="6" t="s">
        <v>41</v>
      </c>
      <c r="Z4" s="6" t="s">
        <v>42</v>
      </c>
      <c r="AA4" s="6" t="s">
        <v>43</v>
      </c>
      <c r="AB4" s="6" t="s">
        <v>44</v>
      </c>
      <c r="AC4" s="6" t="s">
        <v>45</v>
      </c>
      <c r="AD4" s="6" t="s">
        <v>46</v>
      </c>
      <c r="AE4" s="6" t="s">
        <v>47</v>
      </c>
      <c r="AF4" s="6" t="s">
        <v>48</v>
      </c>
    </row>
    <row r="5" customFormat="false" ht="15" hidden="false" customHeight="false" outlineLevel="0" collapsed="false">
      <c r="A5" s="7" t="s">
        <v>49</v>
      </c>
      <c r="B5" s="7" t="s">
        <v>50</v>
      </c>
      <c r="C5" s="7" t="s">
        <v>51</v>
      </c>
      <c r="D5" s="7" t="s">
        <v>52</v>
      </c>
      <c r="E5" s="7" t="s">
        <v>53</v>
      </c>
      <c r="F5" s="8" t="n">
        <v>2450</v>
      </c>
      <c r="G5" s="9" t="n">
        <v>1</v>
      </c>
      <c r="H5" s="7" t="s">
        <v>54</v>
      </c>
      <c r="I5" s="10" t="n">
        <v>6</v>
      </c>
      <c r="J5" s="10" t="n">
        <v>6</v>
      </c>
      <c r="K5" s="10" t="n">
        <v>6</v>
      </c>
      <c r="L5" s="10" t="n">
        <v>6</v>
      </c>
      <c r="M5" s="9" t="n">
        <v>0</v>
      </c>
      <c r="N5" s="11" t="n">
        <f aca="false">IF($A5="",0,F5*(1+Parametri!$B$5))</f>
        <v>2572.5</v>
      </c>
      <c r="O5" s="12" t="n">
        <f aca="false">IF($A5="",0,VLOOKUP(E5,Parametri!$D$8:$G$24,2,0))</f>
        <v>80</v>
      </c>
      <c r="P5" s="11" t="n">
        <f aca="false">IF($A5="",0,N5*O5*(1-M5))</f>
        <v>205800</v>
      </c>
      <c r="Q5" s="13" t="n">
        <f aca="false">IF($A5="",0,VLOOKUP(D5,Parametri!$I$8:$L$12,3,0))</f>
        <v>10.6</v>
      </c>
      <c r="R5" s="13" t="n">
        <f aca="false">IF($A5="",0,VLOOKUP(D5,Parametri!$I$8:$L$12,4,0))</f>
        <v>10.6</v>
      </c>
      <c r="S5" s="14" t="n">
        <f aca="false">IF($A5="",0,IF(H5="Sì",MIN(I5,K5),I5))</f>
        <v>6</v>
      </c>
      <c r="T5" s="14" t="n">
        <f aca="false">IF($A5="",0,IF(H5="Sì",MIN(J5,L5),J5))</f>
        <v>6</v>
      </c>
      <c r="U5" s="11" t="n">
        <f aca="false">IF($A5="",0,ROUND(P5*G5*Q5/1000*(I5+J5)/12,2))</f>
        <v>2181.48</v>
      </c>
      <c r="V5" s="11" t="n">
        <f aca="false">IF($A5="",0,ROUND(P5*G5*Q5/1000*S5/12,2))</f>
        <v>1090.74</v>
      </c>
      <c r="W5" s="11" t="n">
        <f aca="false">IF($A5="",0,ROUND(P5*G5*R5/1000*(S5+T5)/12,2))</f>
        <v>2181.48</v>
      </c>
      <c r="X5" s="11" t="n">
        <f aca="false">W5-V5</f>
        <v>1090.74</v>
      </c>
      <c r="Y5" s="11" t="n">
        <f aca="false">U5-W5</f>
        <v>0</v>
      </c>
      <c r="Z5" s="12" t="str">
        <f aca="false">IF($A5="",0,VLOOKUP(E5,Parametri!$D$8:$G$24,3,0))</f>
        <v>A10</v>
      </c>
      <c r="AA5" s="12" t="str">
        <f aca="false">IF($A5="","",VLOOKUP(E5,Parametri!$D$8:$G$24,4,0))</f>
        <v>3918</v>
      </c>
      <c r="AB5" s="11" t="n">
        <f aca="false">IF(Z5="D",ROUND(P5*G5*Parametri!$B$4/1000*(S5+T5)/12,2),0)</f>
        <v>0</v>
      </c>
      <c r="AC5" s="11" t="n">
        <f aca="false">W5-AB5</f>
        <v>2181.48</v>
      </c>
      <c r="AD5" s="11" t="n">
        <f aca="false">IF(Z5="D",ROUND(P5*G5*Parametri!$B$4/1000*S5/12,2),0)</f>
        <v>0</v>
      </c>
      <c r="AE5" s="11" t="n">
        <f aca="false">AB5-AD5</f>
        <v>0</v>
      </c>
      <c r="AF5" s="12" t="str">
        <f aca="false">IF($A5="","",VLOOKUP(D5,Parametri!$I$8:$L$12,2,0))</f>
        <v>F839</v>
      </c>
    </row>
    <row r="6" customFormat="false" ht="15" hidden="false" customHeight="false" outlineLevel="0" collapsed="false">
      <c r="A6" s="7" t="s">
        <v>49</v>
      </c>
      <c r="B6" s="7" t="s">
        <v>55</v>
      </c>
      <c r="C6" s="7" t="s">
        <v>56</v>
      </c>
      <c r="D6" s="7" t="s">
        <v>52</v>
      </c>
      <c r="E6" s="7" t="s">
        <v>57</v>
      </c>
      <c r="F6" s="8" t="n">
        <v>3900</v>
      </c>
      <c r="G6" s="9" t="n">
        <v>1</v>
      </c>
      <c r="H6" s="7" t="s">
        <v>54</v>
      </c>
      <c r="I6" s="10" t="n">
        <v>6</v>
      </c>
      <c r="J6" s="10" t="n">
        <v>6</v>
      </c>
      <c r="K6" s="10" t="n">
        <v>6</v>
      </c>
      <c r="L6" s="10" t="n">
        <v>6</v>
      </c>
      <c r="M6" s="9" t="n">
        <v>0</v>
      </c>
      <c r="N6" s="11" t="n">
        <f aca="false">IF($A6="",0,F6*(1+Parametri!$B$5))</f>
        <v>4095</v>
      </c>
      <c r="O6" s="12" t="n">
        <f aca="false">IF($A6="",0,VLOOKUP(E6,Parametri!$D$8:$G$24,2,0))</f>
        <v>55</v>
      </c>
      <c r="P6" s="11" t="n">
        <f aca="false">IF($A6="",0,N6*O6*(1-M6))</f>
        <v>225225</v>
      </c>
      <c r="Q6" s="13" t="n">
        <f aca="false">IF($A6="",0,VLOOKUP(D6,Parametri!$I$8:$L$12,3,0))</f>
        <v>10.6</v>
      </c>
      <c r="R6" s="13" t="n">
        <f aca="false">IF($A6="",0,VLOOKUP(D6,Parametri!$I$8:$L$12,4,0))</f>
        <v>10.6</v>
      </c>
      <c r="S6" s="14" t="n">
        <f aca="false">IF($A6="",0,IF(H6="Sì",MIN(I6,K6),I6))</f>
        <v>6</v>
      </c>
      <c r="T6" s="14" t="n">
        <f aca="false">IF($A6="",0,IF(H6="Sì",MIN(J6,L6),J6))</f>
        <v>6</v>
      </c>
      <c r="U6" s="11" t="n">
        <f aca="false">IF($A6="",0,ROUND(P6*G6*Q6/1000*(I6+J6)/12,2))</f>
        <v>2387.39</v>
      </c>
      <c r="V6" s="11" t="n">
        <f aca="false">IF($A6="",0,ROUND(P6*G6*Q6/1000*S6/12,2))</f>
        <v>1193.69</v>
      </c>
      <c r="W6" s="11" t="n">
        <f aca="false">IF($A6="",0,ROUND(P6*G6*R6/1000*(S6+T6)/12,2))</f>
        <v>2387.39</v>
      </c>
      <c r="X6" s="11" t="n">
        <f aca="false">W6-V6</f>
        <v>1193.7</v>
      </c>
      <c r="Y6" s="11" t="n">
        <f aca="false">U6-W6</f>
        <v>0</v>
      </c>
      <c r="Z6" s="12" t="str">
        <f aca="false">IF($A6="",0,VLOOKUP(E6,Parametri!$D$8:$G$24,3,0))</f>
        <v>C1</v>
      </c>
      <c r="AA6" s="12" t="str">
        <f aca="false">IF($A6="","",VLOOKUP(E6,Parametri!$D$8:$G$24,4,0))</f>
        <v>3918</v>
      </c>
      <c r="AB6" s="11" t="n">
        <f aca="false">IF(Z6="D",ROUND(P6*G6*Parametri!$B$4/1000*(S6+T6)/12,2),0)</f>
        <v>0</v>
      </c>
      <c r="AC6" s="11" t="n">
        <f aca="false">W6-AB6</f>
        <v>2387.39</v>
      </c>
      <c r="AD6" s="11" t="n">
        <f aca="false">IF(Z6="D",ROUND(P6*G6*Parametri!$B$4/1000*S6/12,2),0)</f>
        <v>0</v>
      </c>
      <c r="AE6" s="11" t="n">
        <f aca="false">AB6-AD6</f>
        <v>0</v>
      </c>
      <c r="AF6" s="12" t="str">
        <f aca="false">IF($A6="","",VLOOKUP(D6,Parametri!$I$8:$L$12,2,0))</f>
        <v>F839</v>
      </c>
    </row>
    <row r="7" customFormat="false" ht="15" hidden="false" customHeight="false" outlineLevel="0" collapsed="false">
      <c r="A7" s="7" t="s">
        <v>49</v>
      </c>
      <c r="B7" s="7" t="s">
        <v>58</v>
      </c>
      <c r="C7" s="7" t="s">
        <v>59</v>
      </c>
      <c r="D7" s="7" t="s">
        <v>52</v>
      </c>
      <c r="E7" s="7" t="s">
        <v>60</v>
      </c>
      <c r="F7" s="8" t="n">
        <v>1280</v>
      </c>
      <c r="G7" s="9" t="n">
        <v>1</v>
      </c>
      <c r="H7" s="7" t="s">
        <v>54</v>
      </c>
      <c r="I7" s="10" t="n">
        <v>6</v>
      </c>
      <c r="J7" s="10" t="n">
        <v>6</v>
      </c>
      <c r="K7" s="10" t="n">
        <v>6</v>
      </c>
      <c r="L7" s="10" t="n">
        <v>6</v>
      </c>
      <c r="M7" s="9" t="n">
        <v>0</v>
      </c>
      <c r="N7" s="11" t="n">
        <f aca="false">IF($A7="",0,F7*(1+Parametri!$B$5))</f>
        <v>1344</v>
      </c>
      <c r="O7" s="12" t="n">
        <f aca="false">IF($A7="",0,VLOOKUP(E7,Parametri!$D$8:$G$24,2,0))</f>
        <v>160</v>
      </c>
      <c r="P7" s="11" t="n">
        <f aca="false">IF($A7="",0,N7*O7*(1-M7))</f>
        <v>215040</v>
      </c>
      <c r="Q7" s="13" t="n">
        <f aca="false">IF($A7="",0,VLOOKUP(D7,Parametri!$I$8:$L$12,3,0))</f>
        <v>10.6</v>
      </c>
      <c r="R7" s="13" t="n">
        <f aca="false">IF($A7="",0,VLOOKUP(D7,Parametri!$I$8:$L$12,4,0))</f>
        <v>10.6</v>
      </c>
      <c r="S7" s="14" t="n">
        <f aca="false">IF($A7="",0,IF(H7="Sì",MIN(I7,K7),I7))</f>
        <v>6</v>
      </c>
      <c r="T7" s="14" t="n">
        <f aca="false">IF($A7="",0,IF(H7="Sì",MIN(J7,L7),J7))</f>
        <v>6</v>
      </c>
      <c r="U7" s="11" t="n">
        <f aca="false">IF($A7="",0,ROUND(P7*G7*Q7/1000*(I7+J7)/12,2))</f>
        <v>2279.42</v>
      </c>
      <c r="V7" s="11" t="n">
        <f aca="false">IF($A7="",0,ROUND(P7*G7*Q7/1000*S7/12,2))</f>
        <v>1139.71</v>
      </c>
      <c r="W7" s="11" t="n">
        <f aca="false">IF($A7="",0,ROUND(P7*G7*R7/1000*(S7+T7)/12,2))</f>
        <v>2279.42</v>
      </c>
      <c r="X7" s="11" t="n">
        <f aca="false">W7-V7</f>
        <v>1139.71</v>
      </c>
      <c r="Y7" s="11" t="n">
        <f aca="false">U7-W7</f>
        <v>0</v>
      </c>
      <c r="Z7" s="12" t="str">
        <f aca="false">IF($A7="",0,VLOOKUP(E7,Parametri!$D$8:$G$24,3,0))</f>
        <v>A</v>
      </c>
      <c r="AA7" s="12" t="str">
        <f aca="false">IF($A7="","",VLOOKUP(E7,Parametri!$D$8:$G$24,4,0))</f>
        <v>3918</v>
      </c>
      <c r="AB7" s="11" t="n">
        <f aca="false">IF(Z7="D",ROUND(P7*G7*Parametri!$B$4/1000*(S7+T7)/12,2),0)</f>
        <v>0</v>
      </c>
      <c r="AC7" s="11" t="n">
        <f aca="false">W7-AB7</f>
        <v>2279.42</v>
      </c>
      <c r="AD7" s="11" t="n">
        <f aca="false">IF(Z7="D",ROUND(P7*G7*Parametri!$B$4/1000*S7/12,2),0)</f>
        <v>0</v>
      </c>
      <c r="AE7" s="11" t="n">
        <f aca="false">AB7-AD7</f>
        <v>0</v>
      </c>
      <c r="AF7" s="12" t="str">
        <f aca="false">IF($A7="","",VLOOKUP(D7,Parametri!$I$8:$L$12,2,0))</f>
        <v>F839</v>
      </c>
    </row>
    <row r="8" customFormat="false" ht="15" hidden="false" customHeight="false" outlineLevel="0" collapsed="false">
      <c r="A8" s="7" t="s">
        <v>49</v>
      </c>
      <c r="B8" s="7" t="s">
        <v>61</v>
      </c>
      <c r="C8" s="7" t="s">
        <v>62</v>
      </c>
      <c r="D8" s="7" t="s">
        <v>63</v>
      </c>
      <c r="E8" s="7" t="s">
        <v>64</v>
      </c>
      <c r="F8" s="8" t="n">
        <v>780</v>
      </c>
      <c r="G8" s="9" t="n">
        <v>1</v>
      </c>
      <c r="H8" s="7" t="s">
        <v>54</v>
      </c>
      <c r="I8" s="10" t="n">
        <v>6</v>
      </c>
      <c r="J8" s="10" t="n">
        <v>6</v>
      </c>
      <c r="K8" s="10" t="n">
        <v>6</v>
      </c>
      <c r="L8" s="10" t="n">
        <v>6</v>
      </c>
      <c r="M8" s="9" t="n">
        <v>0</v>
      </c>
      <c r="N8" s="11" t="n">
        <f aca="false">IF($A8="",0,F8*(1+Parametri!$B$5))</f>
        <v>819</v>
      </c>
      <c r="O8" s="12" t="n">
        <f aca="false">IF($A8="",0,VLOOKUP(E8,Parametri!$D$8:$G$24,2,0))</f>
        <v>160</v>
      </c>
      <c r="P8" s="11" t="n">
        <f aca="false">IF($A8="",0,N8*O8*(1-M8))</f>
        <v>131040</v>
      </c>
      <c r="Q8" s="13" t="n">
        <f aca="false">IF($A8="",0,VLOOKUP(D8,Parametri!$I$8:$L$12,3,0))</f>
        <v>10.6</v>
      </c>
      <c r="R8" s="13" t="n">
        <f aca="false">IF($A8="",0,VLOOKUP(D8,Parametri!$I$8:$L$12,4,0))</f>
        <v>10.6</v>
      </c>
      <c r="S8" s="14" t="n">
        <f aca="false">IF($A8="",0,IF(H8="Sì",MIN(I8,K8),I8))</f>
        <v>6</v>
      </c>
      <c r="T8" s="14" t="n">
        <f aca="false">IF($A8="",0,IF(H8="Sì",MIN(J8,L8),J8))</f>
        <v>6</v>
      </c>
      <c r="U8" s="11" t="n">
        <f aca="false">IF($A8="",0,ROUND(P8*G8*Q8/1000*(I8+J8)/12,2))</f>
        <v>1389.02</v>
      </c>
      <c r="V8" s="11" t="n">
        <f aca="false">IF($A8="",0,ROUND(P8*G8*Q8/1000*S8/12,2))</f>
        <v>694.51</v>
      </c>
      <c r="W8" s="11" t="n">
        <f aca="false">IF($A8="",0,ROUND(P8*G8*R8/1000*(S8+T8)/12,2))</f>
        <v>1389.02</v>
      </c>
      <c r="X8" s="11" t="n">
        <f aca="false">W8-V8</f>
        <v>694.51</v>
      </c>
      <c r="Y8" s="11" t="n">
        <f aca="false">U8-W8</f>
        <v>0</v>
      </c>
      <c r="Z8" s="12" t="str">
        <f aca="false">IF($A8="",0,VLOOKUP(E8,Parametri!$D$8:$G$24,3,0))</f>
        <v>A</v>
      </c>
      <c r="AA8" s="12" t="str">
        <f aca="false">IF($A8="","",VLOOKUP(E8,Parametri!$D$8:$G$24,4,0))</f>
        <v>3918</v>
      </c>
      <c r="AB8" s="11" t="n">
        <f aca="false">IF(Z8="D",ROUND(P8*G8*Parametri!$B$4/1000*(S8+T8)/12,2),0)</f>
        <v>0</v>
      </c>
      <c r="AC8" s="11" t="n">
        <f aca="false">W8-AB8</f>
        <v>1389.02</v>
      </c>
      <c r="AD8" s="11" t="n">
        <f aca="false">IF(Z8="D",ROUND(P8*G8*Parametri!$B$4/1000*S8/12,2),0)</f>
        <v>0</v>
      </c>
      <c r="AE8" s="11" t="n">
        <f aca="false">AB8-AD8</f>
        <v>0</v>
      </c>
      <c r="AF8" s="12" t="str">
        <f aca="false">IF($A8="","",VLOOKUP(D8,Parametri!$I$8:$L$12,2,0))</f>
        <v>G964</v>
      </c>
    </row>
    <row r="9" customFormat="false" ht="15" hidden="false" customHeight="false" outlineLevel="0" collapsed="false">
      <c r="A9" s="7" t="s">
        <v>49</v>
      </c>
      <c r="B9" s="7" t="s">
        <v>65</v>
      </c>
      <c r="C9" s="7" t="s">
        <v>66</v>
      </c>
      <c r="D9" s="7" t="s">
        <v>63</v>
      </c>
      <c r="E9" s="7" t="s">
        <v>67</v>
      </c>
      <c r="F9" s="8" t="n">
        <v>160</v>
      </c>
      <c r="G9" s="9" t="n">
        <v>1</v>
      </c>
      <c r="H9" s="7" t="s">
        <v>54</v>
      </c>
      <c r="I9" s="10" t="n">
        <v>6</v>
      </c>
      <c r="J9" s="10" t="n">
        <v>6</v>
      </c>
      <c r="K9" s="10" t="n">
        <v>6</v>
      </c>
      <c r="L9" s="10" t="n">
        <v>6</v>
      </c>
      <c r="M9" s="9" t="n">
        <v>0</v>
      </c>
      <c r="N9" s="11" t="n">
        <f aca="false">IF($A9="",0,F9*(1+Parametri!$B$5))</f>
        <v>168</v>
      </c>
      <c r="O9" s="12" t="n">
        <f aca="false">IF($A9="",0,VLOOKUP(E9,Parametri!$D$8:$G$24,2,0))</f>
        <v>160</v>
      </c>
      <c r="P9" s="11" t="n">
        <f aca="false">IF($A9="",0,N9*O9*(1-M9))</f>
        <v>26880</v>
      </c>
      <c r="Q9" s="13" t="n">
        <f aca="false">IF($A9="",0,VLOOKUP(D9,Parametri!$I$8:$L$12,3,0))</f>
        <v>10.6</v>
      </c>
      <c r="R9" s="13" t="n">
        <f aca="false">IF($A9="",0,VLOOKUP(D9,Parametri!$I$8:$L$12,4,0))</f>
        <v>10.6</v>
      </c>
      <c r="S9" s="14" t="n">
        <f aca="false">IF($A9="",0,IF(H9="Sì",MIN(I9,K9),I9))</f>
        <v>6</v>
      </c>
      <c r="T9" s="14" t="n">
        <f aca="false">IF($A9="",0,IF(H9="Sì",MIN(J9,L9),J9))</f>
        <v>6</v>
      </c>
      <c r="U9" s="11" t="n">
        <f aca="false">IF($A9="",0,ROUND(P9*G9*Q9/1000*(I9+J9)/12,2))</f>
        <v>284.93</v>
      </c>
      <c r="V9" s="11" t="n">
        <f aca="false">IF($A9="",0,ROUND(P9*G9*Q9/1000*S9/12,2))</f>
        <v>142.46</v>
      </c>
      <c r="W9" s="11" t="n">
        <f aca="false">IF($A9="",0,ROUND(P9*G9*R9/1000*(S9+T9)/12,2))</f>
        <v>284.93</v>
      </c>
      <c r="X9" s="11" t="n">
        <f aca="false">W9-V9</f>
        <v>142.47</v>
      </c>
      <c r="Y9" s="11" t="n">
        <f aca="false">U9-W9</f>
        <v>0</v>
      </c>
      <c r="Z9" s="12" t="str">
        <f aca="false">IF($A9="",0,VLOOKUP(E9,Parametri!$D$8:$G$24,3,0))</f>
        <v>C</v>
      </c>
      <c r="AA9" s="12" t="str">
        <f aca="false">IF($A9="","",VLOOKUP(E9,Parametri!$D$8:$G$24,4,0))</f>
        <v>3918</v>
      </c>
      <c r="AB9" s="11" t="n">
        <f aca="false">IF(Z9="D",ROUND(P9*G9*Parametri!$B$4/1000*(S9+T9)/12,2),0)</f>
        <v>0</v>
      </c>
      <c r="AC9" s="11" t="n">
        <f aca="false">W9-AB9</f>
        <v>284.93</v>
      </c>
      <c r="AD9" s="11" t="n">
        <f aca="false">IF(Z9="D",ROUND(P9*G9*Parametri!$B$4/1000*S9/12,2),0)</f>
        <v>0</v>
      </c>
      <c r="AE9" s="11" t="n">
        <f aca="false">AB9-AD9</f>
        <v>0</v>
      </c>
      <c r="AF9" s="12" t="str">
        <f aca="false">IF($A9="","",VLOOKUP(D9,Parametri!$I$8:$L$12,2,0))</f>
        <v>G964</v>
      </c>
    </row>
    <row r="10" customFormat="false" ht="15" hidden="false" customHeight="false" outlineLevel="0" collapsed="false">
      <c r="A10" s="7" t="s">
        <v>49</v>
      </c>
      <c r="B10" s="7" t="s">
        <v>68</v>
      </c>
      <c r="C10" s="7" t="s">
        <v>69</v>
      </c>
      <c r="D10" s="7" t="s">
        <v>70</v>
      </c>
      <c r="E10" s="7" t="s">
        <v>71</v>
      </c>
      <c r="F10" s="8" t="n">
        <v>9800</v>
      </c>
      <c r="G10" s="9" t="n">
        <v>1</v>
      </c>
      <c r="H10" s="7" t="s">
        <v>72</v>
      </c>
      <c r="I10" s="10" t="n">
        <v>6</v>
      </c>
      <c r="J10" s="10" t="n">
        <v>6</v>
      </c>
      <c r="K10" s="10" t="n">
        <v>6</v>
      </c>
      <c r="L10" s="10" t="n">
        <v>6</v>
      </c>
      <c r="M10" s="9" t="n">
        <v>0</v>
      </c>
      <c r="N10" s="11" t="n">
        <f aca="false">IF($A10="",0,F10*(1+Parametri!$B$5))</f>
        <v>10290</v>
      </c>
      <c r="O10" s="12" t="n">
        <f aca="false">IF($A10="",0,VLOOKUP(E10,Parametri!$D$8:$G$24,2,0))</f>
        <v>65</v>
      </c>
      <c r="P10" s="11" t="n">
        <f aca="false">IF($A10="",0,N10*O10*(1-M10))</f>
        <v>668850</v>
      </c>
      <c r="Q10" s="13" t="n">
        <f aca="false">IF($A10="",0,VLOOKUP(D10,Parametri!$I$8:$L$12,3,0))</f>
        <v>10.6</v>
      </c>
      <c r="R10" s="13" t="n">
        <f aca="false">IF($A10="",0,VLOOKUP(D10,Parametri!$I$8:$L$12,4,0))</f>
        <v>10.6</v>
      </c>
      <c r="S10" s="14" t="n">
        <f aca="false">IF($A10="",0,IF(H10="Sì",MIN(I10,K10),I10))</f>
        <v>6</v>
      </c>
      <c r="T10" s="14" t="n">
        <f aca="false">IF($A10="",0,IF(H10="Sì",MIN(J10,L10),J10))</f>
        <v>6</v>
      </c>
      <c r="U10" s="11" t="n">
        <f aca="false">IF($A10="",0,ROUND(P10*G10*Q10/1000*(I10+J10)/12,2))</f>
        <v>7089.81</v>
      </c>
      <c r="V10" s="11" t="n">
        <f aca="false">IF($A10="",0,ROUND(P10*G10*Q10/1000*S10/12,2))</f>
        <v>3544.91</v>
      </c>
      <c r="W10" s="11" t="n">
        <f aca="false">IF($A10="",0,ROUND(P10*G10*R10/1000*(S10+T10)/12,2))</f>
        <v>7089.81</v>
      </c>
      <c r="X10" s="11" t="n">
        <f aca="false">W10-V10</f>
        <v>3544.9</v>
      </c>
      <c r="Y10" s="11" t="n">
        <f aca="false">U10-W10</f>
        <v>0</v>
      </c>
      <c r="Z10" s="12" t="str">
        <f aca="false">IF($A10="",0,VLOOKUP(E10,Parametri!$D$8:$G$24,3,0))</f>
        <v>D</v>
      </c>
      <c r="AA10" s="12" t="str">
        <f aca="false">IF($A10="","",VLOOKUP(E10,Parametri!$D$8:$G$24,4,0))</f>
        <v>3930</v>
      </c>
      <c r="AB10" s="11" t="n">
        <f aca="false">IF(Z10="D",ROUND(P10*G10*Parametri!$B$4/1000*(S10+T10)/12,2),0)</f>
        <v>5083.26</v>
      </c>
      <c r="AC10" s="11" t="n">
        <f aca="false">W10-AB10</f>
        <v>2006.55</v>
      </c>
      <c r="AD10" s="11" t="n">
        <f aca="false">IF(Z10="D",ROUND(P10*G10*Parametri!$B$4/1000*S10/12,2),0)</f>
        <v>2541.63</v>
      </c>
      <c r="AE10" s="11" t="n">
        <f aca="false">AB10-AD10</f>
        <v>2541.63</v>
      </c>
      <c r="AF10" s="12" t="str">
        <f aca="false">IF($A10="","",VLOOKUP(D10,Parametri!$I$8:$L$12,2,0))</f>
        <v>B990</v>
      </c>
    </row>
    <row r="11" customFormat="false" ht="15" hidden="false" customHeight="false" outlineLevel="0" collapsed="false">
      <c r="A11" s="7" t="s">
        <v>73</v>
      </c>
      <c r="B11" s="7" t="s">
        <v>74</v>
      </c>
      <c r="C11" s="7" t="s">
        <v>75</v>
      </c>
      <c r="D11" s="7" t="s">
        <v>76</v>
      </c>
      <c r="E11" s="7" t="s">
        <v>60</v>
      </c>
      <c r="F11" s="8" t="n">
        <v>1050</v>
      </c>
      <c r="G11" s="9" t="n">
        <v>1</v>
      </c>
      <c r="H11" s="7" t="s">
        <v>54</v>
      </c>
      <c r="I11" s="10" t="n">
        <v>6</v>
      </c>
      <c r="J11" s="10" t="n">
        <v>6</v>
      </c>
      <c r="K11" s="10" t="n">
        <v>6</v>
      </c>
      <c r="L11" s="10" t="n">
        <v>6</v>
      </c>
      <c r="M11" s="9" t="n">
        <v>0</v>
      </c>
      <c r="N11" s="11" t="n">
        <f aca="false">IF($A11="",0,F11*(1+Parametri!$B$5))</f>
        <v>1102.5</v>
      </c>
      <c r="O11" s="12" t="n">
        <f aca="false">IF($A11="",0,VLOOKUP(E11,Parametri!$D$8:$G$24,2,0))</f>
        <v>160</v>
      </c>
      <c r="P11" s="11" t="n">
        <f aca="false">IF($A11="",0,N11*O11*(1-M11))</f>
        <v>176400</v>
      </c>
      <c r="Q11" s="13" t="n">
        <f aca="false">IF($A11="",0,VLOOKUP(D11,Parametri!$I$8:$L$12,3,0))</f>
        <v>10.6</v>
      </c>
      <c r="R11" s="13" t="n">
        <f aca="false">IF($A11="",0,VLOOKUP(D11,Parametri!$I$8:$L$12,4,0))</f>
        <v>10.6</v>
      </c>
      <c r="S11" s="14" t="n">
        <f aca="false">IF($A11="",0,IF(H11="Sì",MIN(I11,K11),I11))</f>
        <v>6</v>
      </c>
      <c r="T11" s="14" t="n">
        <f aca="false">IF($A11="",0,IF(H11="Sì",MIN(J11,L11),J11))</f>
        <v>6</v>
      </c>
      <c r="U11" s="11" t="n">
        <f aca="false">IF($A11="",0,ROUND(P11*G11*Q11/1000*(I11+J11)/12,2))</f>
        <v>1869.84</v>
      </c>
      <c r="V11" s="11" t="n">
        <f aca="false">IF($A11="",0,ROUND(P11*G11*Q11/1000*S11/12,2))</f>
        <v>934.92</v>
      </c>
      <c r="W11" s="11" t="n">
        <f aca="false">IF($A11="",0,ROUND(P11*G11*R11/1000*(S11+T11)/12,2))</f>
        <v>1869.84</v>
      </c>
      <c r="X11" s="11" t="n">
        <f aca="false">W11-V11</f>
        <v>934.92</v>
      </c>
      <c r="Y11" s="11" t="n">
        <f aca="false">U11-W11</f>
        <v>0</v>
      </c>
      <c r="Z11" s="12" t="str">
        <f aca="false">IF($A11="",0,VLOOKUP(E11,Parametri!$D$8:$G$24,3,0))</f>
        <v>A</v>
      </c>
      <c r="AA11" s="12" t="str">
        <f aca="false">IF($A11="","",VLOOKUP(E11,Parametri!$D$8:$G$24,4,0))</f>
        <v>3918</v>
      </c>
      <c r="AB11" s="11" t="n">
        <f aca="false">IF(Z11="D",ROUND(P11*G11*Parametri!$B$4/1000*(S11+T11)/12,2),0)</f>
        <v>0</v>
      </c>
      <c r="AC11" s="11" t="n">
        <f aca="false">W11-AB11</f>
        <v>1869.84</v>
      </c>
      <c r="AD11" s="11" t="n">
        <f aca="false">IF(Z11="D",ROUND(P11*G11*Parametri!$B$4/1000*S11/12,2),0)</f>
        <v>0</v>
      </c>
      <c r="AE11" s="11" t="n">
        <f aca="false">AB11-AD11</f>
        <v>0</v>
      </c>
      <c r="AF11" s="12" t="str">
        <f aca="false">IF($A11="","",VLOOKUP(D11,Parametri!$I$8:$L$12,2,0))</f>
        <v>B963</v>
      </c>
    </row>
    <row r="12" customFormat="false" ht="15" hidden="false" customHeight="false" outlineLevel="0" collapsed="false">
      <c r="A12" s="7" t="s">
        <v>73</v>
      </c>
      <c r="B12" s="7" t="s">
        <v>77</v>
      </c>
      <c r="C12" s="7" t="s">
        <v>78</v>
      </c>
      <c r="D12" s="7" t="s">
        <v>76</v>
      </c>
      <c r="E12" s="7" t="s">
        <v>53</v>
      </c>
      <c r="F12" s="8" t="n">
        <v>1900</v>
      </c>
      <c r="G12" s="9" t="n">
        <v>1</v>
      </c>
      <c r="H12" s="7" t="s">
        <v>54</v>
      </c>
      <c r="I12" s="10" t="n">
        <v>6</v>
      </c>
      <c r="J12" s="10" t="n">
        <v>6</v>
      </c>
      <c r="K12" s="10" t="n">
        <v>6</v>
      </c>
      <c r="L12" s="10" t="n">
        <v>6</v>
      </c>
      <c r="M12" s="9" t="n">
        <v>0</v>
      </c>
      <c r="N12" s="11" t="n">
        <f aca="false">IF($A12="",0,F12*(1+Parametri!$B$5))</f>
        <v>1995</v>
      </c>
      <c r="O12" s="12" t="n">
        <f aca="false">IF($A12="",0,VLOOKUP(E12,Parametri!$D$8:$G$24,2,0))</f>
        <v>80</v>
      </c>
      <c r="P12" s="11" t="n">
        <f aca="false">IF($A12="",0,N12*O12*(1-M12))</f>
        <v>159600</v>
      </c>
      <c r="Q12" s="13" t="n">
        <f aca="false">IF($A12="",0,VLOOKUP(D12,Parametri!$I$8:$L$12,3,0))</f>
        <v>10.6</v>
      </c>
      <c r="R12" s="13" t="n">
        <f aca="false">IF($A12="",0,VLOOKUP(D12,Parametri!$I$8:$L$12,4,0))</f>
        <v>10.6</v>
      </c>
      <c r="S12" s="14" t="n">
        <f aca="false">IF($A12="",0,IF(H12="Sì",MIN(I12,K12),I12))</f>
        <v>6</v>
      </c>
      <c r="T12" s="14" t="n">
        <f aca="false">IF($A12="",0,IF(H12="Sì",MIN(J12,L12),J12))</f>
        <v>6</v>
      </c>
      <c r="U12" s="11" t="n">
        <f aca="false">IF($A12="",0,ROUND(P12*G12*Q12/1000*(I12+J12)/12,2))</f>
        <v>1691.76</v>
      </c>
      <c r="V12" s="11" t="n">
        <f aca="false">IF($A12="",0,ROUND(P12*G12*Q12/1000*S12/12,2))</f>
        <v>845.88</v>
      </c>
      <c r="W12" s="11" t="n">
        <f aca="false">IF($A12="",0,ROUND(P12*G12*R12/1000*(S12+T12)/12,2))</f>
        <v>1691.76</v>
      </c>
      <c r="X12" s="11" t="n">
        <f aca="false">W12-V12</f>
        <v>845.88</v>
      </c>
      <c r="Y12" s="11" t="n">
        <f aca="false">U12-W12</f>
        <v>0</v>
      </c>
      <c r="Z12" s="12" t="str">
        <f aca="false">IF($A12="",0,VLOOKUP(E12,Parametri!$D$8:$G$24,3,0))</f>
        <v>A10</v>
      </c>
      <c r="AA12" s="12" t="str">
        <f aca="false">IF($A12="","",VLOOKUP(E12,Parametri!$D$8:$G$24,4,0))</f>
        <v>3918</v>
      </c>
      <c r="AB12" s="11" t="n">
        <f aca="false">IF(Z12="D",ROUND(P12*G12*Parametri!$B$4/1000*(S12+T12)/12,2),0)</f>
        <v>0</v>
      </c>
      <c r="AC12" s="11" t="n">
        <f aca="false">W12-AB12</f>
        <v>1691.76</v>
      </c>
      <c r="AD12" s="11" t="n">
        <f aca="false">IF(Z12="D",ROUND(P12*G12*Parametri!$B$4/1000*S12/12,2),0)</f>
        <v>0</v>
      </c>
      <c r="AE12" s="11" t="n">
        <f aca="false">AB12-AD12</f>
        <v>0</v>
      </c>
      <c r="AF12" s="12" t="str">
        <f aca="false">IF($A12="","",VLOOKUP(D12,Parametri!$I$8:$L$12,2,0))</f>
        <v>B963</v>
      </c>
    </row>
    <row r="13" customFormat="false" ht="15" hidden="false" customHeight="false" outlineLevel="0" collapsed="false">
      <c r="A13" s="7" t="s">
        <v>73</v>
      </c>
      <c r="B13" s="7" t="s">
        <v>79</v>
      </c>
      <c r="C13" s="7" t="s">
        <v>80</v>
      </c>
      <c r="D13" s="7" t="s">
        <v>81</v>
      </c>
      <c r="E13" s="7" t="s">
        <v>57</v>
      </c>
      <c r="F13" s="8" t="n">
        <v>2700</v>
      </c>
      <c r="G13" s="9" t="n">
        <v>1</v>
      </c>
      <c r="H13" s="7" t="s">
        <v>54</v>
      </c>
      <c r="I13" s="10" t="n">
        <v>6</v>
      </c>
      <c r="J13" s="10" t="n">
        <v>6</v>
      </c>
      <c r="K13" s="10" t="n">
        <v>6</v>
      </c>
      <c r="L13" s="10" t="n">
        <v>6</v>
      </c>
      <c r="M13" s="9" t="n">
        <v>0</v>
      </c>
      <c r="N13" s="11" t="n">
        <f aca="false">IF($A13="",0,F13*(1+Parametri!$B$5))</f>
        <v>2835</v>
      </c>
      <c r="O13" s="12" t="n">
        <f aca="false">IF($A13="",0,VLOOKUP(E13,Parametri!$D$8:$G$24,2,0))</f>
        <v>55</v>
      </c>
      <c r="P13" s="11" t="n">
        <f aca="false">IF($A13="",0,N13*O13*(1-M13))</f>
        <v>155925</v>
      </c>
      <c r="Q13" s="13" t="n">
        <f aca="false">IF($A13="",0,VLOOKUP(D13,Parametri!$I$8:$L$12,3,0))</f>
        <v>10.4</v>
      </c>
      <c r="R13" s="13" t="n">
        <f aca="false">IF($A13="",0,VLOOKUP(D13,Parametri!$I$8:$L$12,4,0))</f>
        <v>10.6</v>
      </c>
      <c r="S13" s="14" t="n">
        <f aca="false">IF($A13="",0,IF(H13="Sì",MIN(I13,K13),I13))</f>
        <v>6</v>
      </c>
      <c r="T13" s="14" t="n">
        <f aca="false">IF($A13="",0,IF(H13="Sì",MIN(J13,L13),J13))</f>
        <v>6</v>
      </c>
      <c r="U13" s="11" t="n">
        <f aca="false">IF($A13="",0,ROUND(P13*G13*Q13/1000*(I13+J13)/12,2))</f>
        <v>1621.62</v>
      </c>
      <c r="V13" s="11" t="n">
        <f aca="false">IF($A13="",0,ROUND(P13*G13*Q13/1000*S13/12,2))</f>
        <v>810.81</v>
      </c>
      <c r="W13" s="11" t="n">
        <f aca="false">IF($A13="",0,ROUND(P13*G13*R13/1000*(S13+T13)/12,2))</f>
        <v>1652.81</v>
      </c>
      <c r="X13" s="11" t="n">
        <f aca="false">W13-V13</f>
        <v>842</v>
      </c>
      <c r="Y13" s="11" t="n">
        <f aca="false">U13-W13</f>
        <v>-31.1900000000001</v>
      </c>
      <c r="Z13" s="12" t="str">
        <f aca="false">IF($A13="",0,VLOOKUP(E13,Parametri!$D$8:$G$24,3,0))</f>
        <v>C1</v>
      </c>
      <c r="AA13" s="12" t="str">
        <f aca="false">IF($A13="","",VLOOKUP(E13,Parametri!$D$8:$G$24,4,0))</f>
        <v>3918</v>
      </c>
      <c r="AB13" s="11" t="n">
        <f aca="false">IF(Z13="D",ROUND(P13*G13*Parametri!$B$4/1000*(S13+T13)/12,2),0)</f>
        <v>0</v>
      </c>
      <c r="AC13" s="11" t="n">
        <f aca="false">W13-AB13</f>
        <v>1652.81</v>
      </c>
      <c r="AD13" s="11" t="n">
        <f aca="false">IF(Z13="D",ROUND(P13*G13*Parametri!$B$4/1000*S13/12,2),0)</f>
        <v>0</v>
      </c>
      <c r="AE13" s="11" t="n">
        <f aca="false">AB13-AD13</f>
        <v>0</v>
      </c>
      <c r="AF13" s="12" t="str">
        <f aca="false">IF($A13="","",VLOOKUP(D13,Parametri!$I$8:$L$12,2,0))</f>
        <v>H703</v>
      </c>
    </row>
    <row r="14" customFormat="false" ht="15" hidden="false" customHeight="false" outlineLevel="0" collapsed="false">
      <c r="A14" s="7" t="s">
        <v>73</v>
      </c>
      <c r="B14" s="7" t="s">
        <v>82</v>
      </c>
      <c r="C14" s="7" t="s">
        <v>83</v>
      </c>
      <c r="D14" s="7" t="s">
        <v>81</v>
      </c>
      <c r="E14" s="7" t="s">
        <v>64</v>
      </c>
      <c r="F14" s="8" t="n">
        <v>900</v>
      </c>
      <c r="G14" s="9" t="n">
        <v>1</v>
      </c>
      <c r="H14" s="7" t="s">
        <v>54</v>
      </c>
      <c r="I14" s="10" t="n">
        <v>6</v>
      </c>
      <c r="J14" s="10" t="n">
        <v>6</v>
      </c>
      <c r="K14" s="10" t="n">
        <v>3</v>
      </c>
      <c r="L14" s="10" t="n">
        <v>4</v>
      </c>
      <c r="M14" s="9" t="n">
        <v>0</v>
      </c>
      <c r="N14" s="11" t="n">
        <f aca="false">IF($A14="",0,F14*(1+Parametri!$B$5))</f>
        <v>945</v>
      </c>
      <c r="O14" s="12" t="n">
        <f aca="false">IF($A14="",0,VLOOKUP(E14,Parametri!$D$8:$G$24,2,0))</f>
        <v>160</v>
      </c>
      <c r="P14" s="11" t="n">
        <f aca="false">IF($A14="",0,N14*O14*(1-M14))</f>
        <v>151200</v>
      </c>
      <c r="Q14" s="13" t="n">
        <f aca="false">IF($A14="",0,VLOOKUP(D14,Parametri!$I$8:$L$12,3,0))</f>
        <v>10.4</v>
      </c>
      <c r="R14" s="13" t="n">
        <f aca="false">IF($A14="",0,VLOOKUP(D14,Parametri!$I$8:$L$12,4,0))</f>
        <v>10.6</v>
      </c>
      <c r="S14" s="14" t="n">
        <f aca="false">IF($A14="",0,IF(H14="Sì",MIN(I14,K14),I14))</f>
        <v>3</v>
      </c>
      <c r="T14" s="14" t="n">
        <f aca="false">IF($A14="",0,IF(H14="Sì",MIN(J14,L14),J14))</f>
        <v>4</v>
      </c>
      <c r="U14" s="11" t="n">
        <f aca="false">IF($A14="",0,ROUND(P14*G14*Q14/1000*(I14+J14)/12,2))</f>
        <v>1572.48</v>
      </c>
      <c r="V14" s="11" t="n">
        <f aca="false">IF($A14="",0,ROUND(P14*G14*Q14/1000*S14/12,2))</f>
        <v>393.12</v>
      </c>
      <c r="W14" s="11" t="n">
        <f aca="false">IF($A14="",0,ROUND(P14*G14*R14/1000*(S14+T14)/12,2))</f>
        <v>934.92</v>
      </c>
      <c r="X14" s="11" t="n">
        <f aca="false">W14-V14</f>
        <v>541.8</v>
      </c>
      <c r="Y14" s="11" t="n">
        <f aca="false">U14-W14</f>
        <v>637.56</v>
      </c>
      <c r="Z14" s="12" t="str">
        <f aca="false">IF($A14="",0,VLOOKUP(E14,Parametri!$D$8:$G$24,3,0))</f>
        <v>A</v>
      </c>
      <c r="AA14" s="12" t="str">
        <f aca="false">IF($A14="","",VLOOKUP(E14,Parametri!$D$8:$G$24,4,0))</f>
        <v>3918</v>
      </c>
      <c r="AB14" s="11" t="n">
        <f aca="false">IF(Z14="D",ROUND(P14*G14*Parametri!$B$4/1000*(S14+T14)/12,2),0)</f>
        <v>0</v>
      </c>
      <c r="AC14" s="11" t="n">
        <f aca="false">W14-AB14</f>
        <v>934.92</v>
      </c>
      <c r="AD14" s="11" t="n">
        <f aca="false">IF(Z14="D",ROUND(P14*G14*Parametri!$B$4/1000*S14/12,2),0)</f>
        <v>0</v>
      </c>
      <c r="AE14" s="11" t="n">
        <f aca="false">AB14-AD14</f>
        <v>0</v>
      </c>
      <c r="AF14" s="12" t="str">
        <f aca="false">IF($A14="","",VLOOKUP(D14,Parametri!$I$8:$L$12,2,0))</f>
        <v>H703</v>
      </c>
    </row>
    <row r="15" customFormat="false" ht="15" hidden="false" customHeight="false" outlineLevel="0" collapsed="false">
      <c r="A15" s="7" t="s">
        <v>73</v>
      </c>
      <c r="B15" s="7" t="s">
        <v>84</v>
      </c>
      <c r="C15" s="7" t="s">
        <v>85</v>
      </c>
      <c r="D15" s="7" t="s">
        <v>52</v>
      </c>
      <c r="E15" s="7" t="s">
        <v>53</v>
      </c>
      <c r="F15" s="8" t="n">
        <v>3100</v>
      </c>
      <c r="G15" s="9" t="n">
        <v>1</v>
      </c>
      <c r="H15" s="7" t="s">
        <v>54</v>
      </c>
      <c r="I15" s="10" t="n">
        <v>6</v>
      </c>
      <c r="J15" s="10" t="n">
        <v>6</v>
      </c>
      <c r="K15" s="10" t="n">
        <v>6</v>
      </c>
      <c r="L15" s="10" t="n">
        <v>6</v>
      </c>
      <c r="M15" s="9" t="n">
        <v>0</v>
      </c>
      <c r="N15" s="11" t="n">
        <f aca="false">IF($A15="",0,F15*(1+Parametri!$B$5))</f>
        <v>3255</v>
      </c>
      <c r="O15" s="12" t="n">
        <f aca="false">IF($A15="",0,VLOOKUP(E15,Parametri!$D$8:$G$24,2,0))</f>
        <v>80</v>
      </c>
      <c r="P15" s="11" t="n">
        <f aca="false">IF($A15="",0,N15*O15*(1-M15))</f>
        <v>260400</v>
      </c>
      <c r="Q15" s="13" t="n">
        <f aca="false">IF($A15="",0,VLOOKUP(D15,Parametri!$I$8:$L$12,3,0))</f>
        <v>10.6</v>
      </c>
      <c r="R15" s="13" t="n">
        <f aca="false">IF($A15="",0,VLOOKUP(D15,Parametri!$I$8:$L$12,4,0))</f>
        <v>10.6</v>
      </c>
      <c r="S15" s="14" t="n">
        <f aca="false">IF($A15="",0,IF(H15="Sì",MIN(I15,K15),I15))</f>
        <v>6</v>
      </c>
      <c r="T15" s="14" t="n">
        <f aca="false">IF($A15="",0,IF(H15="Sì",MIN(J15,L15),J15))</f>
        <v>6</v>
      </c>
      <c r="U15" s="11" t="n">
        <f aca="false">IF($A15="",0,ROUND(P15*G15*Q15/1000*(I15+J15)/12,2))</f>
        <v>2760.24</v>
      </c>
      <c r="V15" s="11" t="n">
        <f aca="false">IF($A15="",0,ROUND(P15*G15*Q15/1000*S15/12,2))</f>
        <v>1380.12</v>
      </c>
      <c r="W15" s="11" t="n">
        <f aca="false">IF($A15="",0,ROUND(P15*G15*R15/1000*(S15+T15)/12,2))</f>
        <v>2760.24</v>
      </c>
      <c r="X15" s="11" t="n">
        <f aca="false">W15-V15</f>
        <v>1380.12</v>
      </c>
      <c r="Y15" s="11" t="n">
        <f aca="false">U15-W15</f>
        <v>0</v>
      </c>
      <c r="Z15" s="12" t="str">
        <f aca="false">IF($A15="",0,VLOOKUP(E15,Parametri!$D$8:$G$24,3,0))</f>
        <v>A10</v>
      </c>
      <c r="AA15" s="12" t="str">
        <f aca="false">IF($A15="","",VLOOKUP(E15,Parametri!$D$8:$G$24,4,0))</f>
        <v>3918</v>
      </c>
      <c r="AB15" s="11" t="n">
        <f aca="false">IF(Z15="D",ROUND(P15*G15*Parametri!$B$4/1000*(S15+T15)/12,2),0)</f>
        <v>0</v>
      </c>
      <c r="AC15" s="11" t="n">
        <f aca="false">W15-AB15</f>
        <v>2760.24</v>
      </c>
      <c r="AD15" s="11" t="n">
        <f aca="false">IF(Z15="D",ROUND(P15*G15*Parametri!$B$4/1000*S15/12,2),0)</f>
        <v>0</v>
      </c>
      <c r="AE15" s="11" t="n">
        <f aca="false">AB15-AD15</f>
        <v>0</v>
      </c>
      <c r="AF15" s="12" t="str">
        <f aca="false">IF($A15="","",VLOOKUP(D15,Parametri!$I$8:$L$12,2,0))</f>
        <v>F839</v>
      </c>
    </row>
    <row r="16" customFormat="false" ht="15" hidden="false" customHeight="false" outlineLevel="0" collapsed="false">
      <c r="A16" s="7" t="s">
        <v>73</v>
      </c>
      <c r="B16" s="7" t="s">
        <v>86</v>
      </c>
      <c r="C16" s="7" t="s">
        <v>87</v>
      </c>
      <c r="D16" s="7" t="s">
        <v>63</v>
      </c>
      <c r="E16" s="7" t="s">
        <v>67</v>
      </c>
      <c r="F16" s="8" t="n">
        <v>95</v>
      </c>
      <c r="G16" s="9" t="n">
        <v>1</v>
      </c>
      <c r="H16" s="7" t="s">
        <v>54</v>
      </c>
      <c r="I16" s="10" t="n">
        <v>6</v>
      </c>
      <c r="J16" s="10" t="n">
        <v>6</v>
      </c>
      <c r="K16" s="10" t="n">
        <v>0</v>
      </c>
      <c r="L16" s="10" t="n">
        <v>0</v>
      </c>
      <c r="M16" s="9" t="n">
        <v>0</v>
      </c>
      <c r="N16" s="11" t="n">
        <f aca="false">IF($A16="",0,F16*(1+Parametri!$B$5))</f>
        <v>99.75</v>
      </c>
      <c r="O16" s="12" t="n">
        <f aca="false">IF($A16="",0,VLOOKUP(E16,Parametri!$D$8:$G$24,2,0))</f>
        <v>160</v>
      </c>
      <c r="P16" s="11" t="n">
        <f aca="false">IF($A16="",0,N16*O16*(1-M16))</f>
        <v>15960</v>
      </c>
      <c r="Q16" s="13" t="n">
        <f aca="false">IF($A16="",0,VLOOKUP(D16,Parametri!$I$8:$L$12,3,0))</f>
        <v>10.6</v>
      </c>
      <c r="R16" s="13" t="n">
        <f aca="false">IF($A16="",0,VLOOKUP(D16,Parametri!$I$8:$L$12,4,0))</f>
        <v>10.6</v>
      </c>
      <c r="S16" s="14" t="n">
        <f aca="false">IF($A16="",0,IF(H16="Sì",MIN(I16,K16),I16))</f>
        <v>0</v>
      </c>
      <c r="T16" s="14" t="n">
        <f aca="false">IF($A16="",0,IF(H16="Sì",MIN(J16,L16),J16))</f>
        <v>0</v>
      </c>
      <c r="U16" s="11" t="n">
        <f aca="false">IF($A16="",0,ROUND(P16*G16*Q16/1000*(I16+J16)/12,2))</f>
        <v>169.18</v>
      </c>
      <c r="V16" s="11" t="n">
        <f aca="false">IF($A16="",0,ROUND(P16*G16*Q16/1000*S16/12,2))</f>
        <v>0</v>
      </c>
      <c r="W16" s="11" t="n">
        <f aca="false">IF($A16="",0,ROUND(P16*G16*R16/1000*(S16+T16)/12,2))</f>
        <v>0</v>
      </c>
      <c r="X16" s="11" t="n">
        <f aca="false">W16-V16</f>
        <v>0</v>
      </c>
      <c r="Y16" s="11" t="n">
        <f aca="false">U16-W16</f>
        <v>169.18</v>
      </c>
      <c r="Z16" s="12" t="str">
        <f aca="false">IF($A16="",0,VLOOKUP(E16,Parametri!$D$8:$G$24,3,0))</f>
        <v>C</v>
      </c>
      <c r="AA16" s="12" t="str">
        <f aca="false">IF($A16="","",VLOOKUP(E16,Parametri!$D$8:$G$24,4,0))</f>
        <v>3918</v>
      </c>
      <c r="AB16" s="11" t="n">
        <f aca="false">IF(Z16="D",ROUND(P16*G16*Parametri!$B$4/1000*(S16+T16)/12,2),0)</f>
        <v>0</v>
      </c>
      <c r="AC16" s="11" t="n">
        <f aca="false">W16-AB16</f>
        <v>0</v>
      </c>
      <c r="AD16" s="11" t="n">
        <f aca="false">IF(Z16="D",ROUND(P16*G16*Parametri!$B$4/1000*S16/12,2),0)</f>
        <v>0</v>
      </c>
      <c r="AE16" s="11" t="n">
        <f aca="false">AB16-AD16</f>
        <v>0</v>
      </c>
      <c r="AF16" s="12" t="str">
        <f aca="false">IF($A16="","",VLOOKUP(D16,Parametri!$I$8:$L$12,2,0))</f>
        <v>G964</v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8"/>
      <c r="G17" s="9"/>
      <c r="H17" s="7"/>
      <c r="I17" s="10"/>
      <c r="J17" s="10"/>
      <c r="K17" s="10"/>
      <c r="L17" s="10"/>
      <c r="M17" s="9"/>
      <c r="N17" s="11" t="n">
        <f aca="false">IF($A17="",0,F17*(1+Parametri!$B$5))</f>
        <v>0</v>
      </c>
      <c r="O17" s="12" t="n">
        <f aca="false">IF($A17="",0,VLOOKUP(E17,Parametri!$D$8:$G$24,2,0))</f>
        <v>0</v>
      </c>
      <c r="P17" s="11" t="n">
        <f aca="false">IF($A17="",0,N17*O17*(1-M17))</f>
        <v>0</v>
      </c>
      <c r="Q17" s="13" t="n">
        <f aca="false">IF($A17="",0,VLOOKUP(D17,Parametri!$I$8:$L$12,3,0))</f>
        <v>0</v>
      </c>
      <c r="R17" s="13" t="n">
        <f aca="false">IF($A17="",0,VLOOKUP(D17,Parametri!$I$8:$L$12,4,0))</f>
        <v>0</v>
      </c>
      <c r="S17" s="14" t="n">
        <f aca="false">IF($A17="",0,IF(H17="Sì",MIN(I17,K17),I17))</f>
        <v>0</v>
      </c>
      <c r="T17" s="14" t="n">
        <f aca="false">IF($A17="",0,IF(H17="Sì",MIN(J17,L17),J17))</f>
        <v>0</v>
      </c>
      <c r="U17" s="11" t="n">
        <f aca="false">IF($A17="",0,ROUND(P17*G17*Q17/1000*(I17+J17)/12,2))</f>
        <v>0</v>
      </c>
      <c r="V17" s="11" t="n">
        <f aca="false">IF($A17="",0,ROUND(P17*G17*Q17/1000*S17/12,2))</f>
        <v>0</v>
      </c>
      <c r="W17" s="11" t="n">
        <f aca="false">IF($A17="",0,ROUND(P17*G17*R17/1000*(S17+T17)/12,2))</f>
        <v>0</v>
      </c>
      <c r="X17" s="11" t="n">
        <f aca="false">W17-V17</f>
        <v>0</v>
      </c>
      <c r="Y17" s="11" t="n">
        <f aca="false">U17-W17</f>
        <v>0</v>
      </c>
      <c r="Z17" s="12" t="n">
        <f aca="false">IF($A17="",0,VLOOKUP(E17,Parametri!$D$8:$G$24,3,0))</f>
        <v>0</v>
      </c>
      <c r="AA17" s="12" t="str">
        <f aca="false">IF($A17="","",VLOOKUP(E17,Parametri!$D$8:$G$24,4,0))</f>
        <v/>
      </c>
      <c r="AB17" s="11" t="n">
        <f aca="false">IF(Z17="D",ROUND(P17*G17*Parametri!$B$4/1000*(S17+T17)/12,2),0)</f>
        <v>0</v>
      </c>
      <c r="AC17" s="11" t="n">
        <f aca="false">W17-AB17</f>
        <v>0</v>
      </c>
      <c r="AD17" s="11" t="n">
        <f aca="false">IF(Z17="D",ROUND(P17*G17*Parametri!$B$4/1000*S17/12,2),0)</f>
        <v>0</v>
      </c>
      <c r="AE17" s="11" t="n">
        <f aca="false">AB17-AD17</f>
        <v>0</v>
      </c>
      <c r="AF17" s="12" t="str">
        <f aca="false">IF($A17="","",VLOOKUP(D17,Parametri!$I$8:$L$12,2,0))</f>
        <v/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8"/>
      <c r="G18" s="9"/>
      <c r="H18" s="7"/>
      <c r="I18" s="10"/>
      <c r="J18" s="10"/>
      <c r="K18" s="10"/>
      <c r="L18" s="10"/>
      <c r="M18" s="9"/>
      <c r="N18" s="11" t="n">
        <f aca="false">IF($A18="",0,F18*(1+Parametri!$B$5))</f>
        <v>0</v>
      </c>
      <c r="O18" s="12" t="n">
        <f aca="false">IF($A18="",0,VLOOKUP(E18,Parametri!$D$8:$G$24,2,0))</f>
        <v>0</v>
      </c>
      <c r="P18" s="11" t="n">
        <f aca="false">IF($A18="",0,N18*O18*(1-M18))</f>
        <v>0</v>
      </c>
      <c r="Q18" s="13" t="n">
        <f aca="false">IF($A18="",0,VLOOKUP(D18,Parametri!$I$8:$L$12,3,0))</f>
        <v>0</v>
      </c>
      <c r="R18" s="13" t="n">
        <f aca="false">IF($A18="",0,VLOOKUP(D18,Parametri!$I$8:$L$12,4,0))</f>
        <v>0</v>
      </c>
      <c r="S18" s="14" t="n">
        <f aca="false">IF($A18="",0,IF(H18="Sì",MIN(I18,K18),I18))</f>
        <v>0</v>
      </c>
      <c r="T18" s="14" t="n">
        <f aca="false">IF($A18="",0,IF(H18="Sì",MIN(J18,L18),J18))</f>
        <v>0</v>
      </c>
      <c r="U18" s="11" t="n">
        <f aca="false">IF($A18="",0,ROUND(P18*G18*Q18/1000*(I18+J18)/12,2))</f>
        <v>0</v>
      </c>
      <c r="V18" s="11" t="n">
        <f aca="false">IF($A18="",0,ROUND(P18*G18*Q18/1000*S18/12,2))</f>
        <v>0</v>
      </c>
      <c r="W18" s="11" t="n">
        <f aca="false">IF($A18="",0,ROUND(P18*G18*R18/1000*(S18+T18)/12,2))</f>
        <v>0</v>
      </c>
      <c r="X18" s="11" t="n">
        <f aca="false">W18-V18</f>
        <v>0</v>
      </c>
      <c r="Y18" s="11" t="n">
        <f aca="false">U18-W18</f>
        <v>0</v>
      </c>
      <c r="Z18" s="12" t="n">
        <f aca="false">IF($A18="",0,VLOOKUP(E18,Parametri!$D$8:$G$24,3,0))</f>
        <v>0</v>
      </c>
      <c r="AA18" s="12" t="str">
        <f aca="false">IF($A18="","",VLOOKUP(E18,Parametri!$D$8:$G$24,4,0))</f>
        <v/>
      </c>
      <c r="AB18" s="11" t="n">
        <f aca="false">IF(Z18="D",ROUND(P18*G18*Parametri!$B$4/1000*(S18+T18)/12,2),0)</f>
        <v>0</v>
      </c>
      <c r="AC18" s="11" t="n">
        <f aca="false">W18-AB18</f>
        <v>0</v>
      </c>
      <c r="AD18" s="11" t="n">
        <f aca="false">IF(Z18="D",ROUND(P18*G18*Parametri!$B$4/1000*S18/12,2),0)</f>
        <v>0</v>
      </c>
      <c r="AE18" s="11" t="n">
        <f aca="false">AB18-AD18</f>
        <v>0</v>
      </c>
      <c r="AF18" s="12" t="str">
        <f aca="false">IF($A18="","",VLOOKUP(D18,Parametri!$I$8:$L$12,2,0))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8"/>
      <c r="G19" s="9"/>
      <c r="H19" s="7"/>
      <c r="I19" s="10"/>
      <c r="J19" s="10"/>
      <c r="K19" s="10"/>
      <c r="L19" s="10"/>
      <c r="M19" s="9"/>
      <c r="N19" s="11" t="n">
        <f aca="false">IF($A19="",0,F19*(1+Parametri!$B$5))</f>
        <v>0</v>
      </c>
      <c r="O19" s="12" t="n">
        <f aca="false">IF($A19="",0,VLOOKUP(E19,Parametri!$D$8:$G$24,2,0))</f>
        <v>0</v>
      </c>
      <c r="P19" s="11" t="n">
        <f aca="false">IF($A19="",0,N19*O19*(1-M19))</f>
        <v>0</v>
      </c>
      <c r="Q19" s="13" t="n">
        <f aca="false">IF($A19="",0,VLOOKUP(D19,Parametri!$I$8:$L$12,3,0))</f>
        <v>0</v>
      </c>
      <c r="R19" s="13" t="n">
        <f aca="false">IF($A19="",0,VLOOKUP(D19,Parametri!$I$8:$L$12,4,0))</f>
        <v>0</v>
      </c>
      <c r="S19" s="14" t="n">
        <f aca="false">IF($A19="",0,IF(H19="Sì",MIN(I19,K19),I19))</f>
        <v>0</v>
      </c>
      <c r="T19" s="14" t="n">
        <f aca="false">IF($A19="",0,IF(H19="Sì",MIN(J19,L19),J19))</f>
        <v>0</v>
      </c>
      <c r="U19" s="11" t="n">
        <f aca="false">IF($A19="",0,ROUND(P19*G19*Q19/1000*(I19+J19)/12,2))</f>
        <v>0</v>
      </c>
      <c r="V19" s="11" t="n">
        <f aca="false">IF($A19="",0,ROUND(P19*G19*Q19/1000*S19/12,2))</f>
        <v>0</v>
      </c>
      <c r="W19" s="11" t="n">
        <f aca="false">IF($A19="",0,ROUND(P19*G19*R19/1000*(S19+T19)/12,2))</f>
        <v>0</v>
      </c>
      <c r="X19" s="11" t="n">
        <f aca="false">W19-V19</f>
        <v>0</v>
      </c>
      <c r="Y19" s="11" t="n">
        <f aca="false">U19-W19</f>
        <v>0</v>
      </c>
      <c r="Z19" s="12" t="n">
        <f aca="false">IF($A19="",0,VLOOKUP(E19,Parametri!$D$8:$G$24,3,0))</f>
        <v>0</v>
      </c>
      <c r="AA19" s="12" t="str">
        <f aca="false">IF($A19="","",VLOOKUP(E19,Parametri!$D$8:$G$24,4,0))</f>
        <v/>
      </c>
      <c r="AB19" s="11" t="n">
        <f aca="false">IF(Z19="D",ROUND(P19*G19*Parametri!$B$4/1000*(S19+T19)/12,2),0)</f>
        <v>0</v>
      </c>
      <c r="AC19" s="11" t="n">
        <f aca="false">W19-AB19</f>
        <v>0</v>
      </c>
      <c r="AD19" s="11" t="n">
        <f aca="false">IF(Z19="D",ROUND(P19*G19*Parametri!$B$4/1000*S19/12,2),0)</f>
        <v>0</v>
      </c>
      <c r="AE19" s="11" t="n">
        <f aca="false">AB19-AD19</f>
        <v>0</v>
      </c>
      <c r="AF19" s="12" t="str">
        <f aca="false">IF($A19="","",VLOOKUP(D19,Parametri!$I$8:$L$12,2,0))</f>
        <v/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8"/>
      <c r="G20" s="9"/>
      <c r="H20" s="7"/>
      <c r="I20" s="10"/>
      <c r="J20" s="10"/>
      <c r="K20" s="10"/>
      <c r="L20" s="10"/>
      <c r="M20" s="9"/>
      <c r="N20" s="11" t="n">
        <f aca="false">IF($A20="",0,F20*(1+Parametri!$B$5))</f>
        <v>0</v>
      </c>
      <c r="O20" s="12" t="n">
        <f aca="false">IF($A20="",0,VLOOKUP(E20,Parametri!$D$8:$G$24,2,0))</f>
        <v>0</v>
      </c>
      <c r="P20" s="11" t="n">
        <f aca="false">IF($A20="",0,N20*O20*(1-M20))</f>
        <v>0</v>
      </c>
      <c r="Q20" s="13" t="n">
        <f aca="false">IF($A20="",0,VLOOKUP(D20,Parametri!$I$8:$L$12,3,0))</f>
        <v>0</v>
      </c>
      <c r="R20" s="13" t="n">
        <f aca="false">IF($A20="",0,VLOOKUP(D20,Parametri!$I$8:$L$12,4,0))</f>
        <v>0</v>
      </c>
      <c r="S20" s="14" t="n">
        <f aca="false">IF($A20="",0,IF(H20="Sì",MIN(I20,K20),I20))</f>
        <v>0</v>
      </c>
      <c r="T20" s="14" t="n">
        <f aca="false">IF($A20="",0,IF(H20="Sì",MIN(J20,L20),J20))</f>
        <v>0</v>
      </c>
      <c r="U20" s="11" t="n">
        <f aca="false">IF($A20="",0,ROUND(P20*G20*Q20/1000*(I20+J20)/12,2))</f>
        <v>0</v>
      </c>
      <c r="V20" s="11" t="n">
        <f aca="false">IF($A20="",0,ROUND(P20*G20*Q20/1000*S20/12,2))</f>
        <v>0</v>
      </c>
      <c r="W20" s="11" t="n">
        <f aca="false">IF($A20="",0,ROUND(P20*G20*R20/1000*(S20+T20)/12,2))</f>
        <v>0</v>
      </c>
      <c r="X20" s="11" t="n">
        <f aca="false">W20-V20</f>
        <v>0</v>
      </c>
      <c r="Y20" s="11" t="n">
        <f aca="false">U20-W20</f>
        <v>0</v>
      </c>
      <c r="Z20" s="12" t="n">
        <f aca="false">IF($A20="",0,VLOOKUP(E20,Parametri!$D$8:$G$24,3,0))</f>
        <v>0</v>
      </c>
      <c r="AA20" s="12" t="str">
        <f aca="false">IF($A20="","",VLOOKUP(E20,Parametri!$D$8:$G$24,4,0))</f>
        <v/>
      </c>
      <c r="AB20" s="11" t="n">
        <f aca="false">IF(Z20="D",ROUND(P20*G20*Parametri!$B$4/1000*(S20+T20)/12,2),0)</f>
        <v>0</v>
      </c>
      <c r="AC20" s="11" t="n">
        <f aca="false">W20-AB20</f>
        <v>0</v>
      </c>
      <c r="AD20" s="11" t="n">
        <f aca="false">IF(Z20="D",ROUND(P20*G20*Parametri!$B$4/1000*S20/12,2),0)</f>
        <v>0</v>
      </c>
      <c r="AE20" s="11" t="n">
        <f aca="false">AB20-AD20</f>
        <v>0</v>
      </c>
      <c r="AF20" s="12" t="str">
        <f aca="false">IF($A20="","",VLOOKUP(D20,Parametri!$I$8:$L$12,2,0))</f>
        <v/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8"/>
      <c r="G21" s="9"/>
      <c r="H21" s="7"/>
      <c r="I21" s="10"/>
      <c r="J21" s="10"/>
      <c r="K21" s="10"/>
      <c r="L21" s="10"/>
      <c r="M21" s="9"/>
      <c r="N21" s="11" t="n">
        <f aca="false">IF($A21="",0,F21*(1+Parametri!$B$5))</f>
        <v>0</v>
      </c>
      <c r="O21" s="12" t="n">
        <f aca="false">IF($A21="",0,VLOOKUP(E21,Parametri!$D$8:$G$24,2,0))</f>
        <v>0</v>
      </c>
      <c r="P21" s="11" t="n">
        <f aca="false">IF($A21="",0,N21*O21*(1-M21))</f>
        <v>0</v>
      </c>
      <c r="Q21" s="13" t="n">
        <f aca="false">IF($A21="",0,VLOOKUP(D21,Parametri!$I$8:$L$12,3,0))</f>
        <v>0</v>
      </c>
      <c r="R21" s="13" t="n">
        <f aca="false">IF($A21="",0,VLOOKUP(D21,Parametri!$I$8:$L$12,4,0))</f>
        <v>0</v>
      </c>
      <c r="S21" s="14" t="n">
        <f aca="false">IF($A21="",0,IF(H21="Sì",MIN(I21,K21),I21))</f>
        <v>0</v>
      </c>
      <c r="T21" s="14" t="n">
        <f aca="false">IF($A21="",0,IF(H21="Sì",MIN(J21,L21),J21))</f>
        <v>0</v>
      </c>
      <c r="U21" s="11" t="n">
        <f aca="false">IF($A21="",0,ROUND(P21*G21*Q21/1000*(I21+J21)/12,2))</f>
        <v>0</v>
      </c>
      <c r="V21" s="11" t="n">
        <f aca="false">IF($A21="",0,ROUND(P21*G21*Q21/1000*S21/12,2))</f>
        <v>0</v>
      </c>
      <c r="W21" s="11" t="n">
        <f aca="false">IF($A21="",0,ROUND(P21*G21*R21/1000*(S21+T21)/12,2))</f>
        <v>0</v>
      </c>
      <c r="X21" s="11" t="n">
        <f aca="false">W21-V21</f>
        <v>0</v>
      </c>
      <c r="Y21" s="11" t="n">
        <f aca="false">U21-W21</f>
        <v>0</v>
      </c>
      <c r="Z21" s="12" t="n">
        <f aca="false">IF($A21="",0,VLOOKUP(E21,Parametri!$D$8:$G$24,3,0))</f>
        <v>0</v>
      </c>
      <c r="AA21" s="12" t="str">
        <f aca="false">IF($A21="","",VLOOKUP(E21,Parametri!$D$8:$G$24,4,0))</f>
        <v/>
      </c>
      <c r="AB21" s="11" t="n">
        <f aca="false">IF(Z21="D",ROUND(P21*G21*Parametri!$B$4/1000*(S21+T21)/12,2),0)</f>
        <v>0</v>
      </c>
      <c r="AC21" s="11" t="n">
        <f aca="false">W21-AB21</f>
        <v>0</v>
      </c>
      <c r="AD21" s="11" t="n">
        <f aca="false">IF(Z21="D",ROUND(P21*G21*Parametri!$B$4/1000*S21/12,2),0)</f>
        <v>0</v>
      </c>
      <c r="AE21" s="11" t="n">
        <f aca="false">AB21-AD21</f>
        <v>0</v>
      </c>
      <c r="AF21" s="12" t="str">
        <f aca="false">IF($A21="","",VLOOKUP(D21,Parametri!$I$8:$L$12,2,0))</f>
        <v/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8"/>
      <c r="G22" s="9"/>
      <c r="H22" s="7"/>
      <c r="I22" s="10"/>
      <c r="J22" s="10"/>
      <c r="K22" s="10"/>
      <c r="L22" s="10"/>
      <c r="M22" s="9"/>
      <c r="N22" s="11" t="n">
        <f aca="false">IF($A22="",0,F22*(1+Parametri!$B$5))</f>
        <v>0</v>
      </c>
      <c r="O22" s="12" t="n">
        <f aca="false">IF($A22="",0,VLOOKUP(E22,Parametri!$D$8:$G$24,2,0))</f>
        <v>0</v>
      </c>
      <c r="P22" s="11" t="n">
        <f aca="false">IF($A22="",0,N22*O22*(1-M22))</f>
        <v>0</v>
      </c>
      <c r="Q22" s="13" t="n">
        <f aca="false">IF($A22="",0,VLOOKUP(D22,Parametri!$I$8:$L$12,3,0))</f>
        <v>0</v>
      </c>
      <c r="R22" s="13" t="n">
        <f aca="false">IF($A22="",0,VLOOKUP(D22,Parametri!$I$8:$L$12,4,0))</f>
        <v>0</v>
      </c>
      <c r="S22" s="14" t="n">
        <f aca="false">IF($A22="",0,IF(H22="Sì",MIN(I22,K22),I22))</f>
        <v>0</v>
      </c>
      <c r="T22" s="14" t="n">
        <f aca="false">IF($A22="",0,IF(H22="Sì",MIN(J22,L22),J22))</f>
        <v>0</v>
      </c>
      <c r="U22" s="11" t="n">
        <f aca="false">IF($A22="",0,ROUND(P22*G22*Q22/1000*(I22+J22)/12,2))</f>
        <v>0</v>
      </c>
      <c r="V22" s="11" t="n">
        <f aca="false">IF($A22="",0,ROUND(P22*G22*Q22/1000*S22/12,2))</f>
        <v>0</v>
      </c>
      <c r="W22" s="11" t="n">
        <f aca="false">IF($A22="",0,ROUND(P22*G22*R22/1000*(S22+T22)/12,2))</f>
        <v>0</v>
      </c>
      <c r="X22" s="11" t="n">
        <f aca="false">W22-V22</f>
        <v>0</v>
      </c>
      <c r="Y22" s="11" t="n">
        <f aca="false">U22-W22</f>
        <v>0</v>
      </c>
      <c r="Z22" s="12" t="n">
        <f aca="false">IF($A22="",0,VLOOKUP(E22,Parametri!$D$8:$G$24,3,0))</f>
        <v>0</v>
      </c>
      <c r="AA22" s="12" t="str">
        <f aca="false">IF($A22="","",VLOOKUP(E22,Parametri!$D$8:$G$24,4,0))</f>
        <v/>
      </c>
      <c r="AB22" s="11" t="n">
        <f aca="false">IF(Z22="D",ROUND(P22*G22*Parametri!$B$4/1000*(S22+T22)/12,2),0)</f>
        <v>0</v>
      </c>
      <c r="AC22" s="11" t="n">
        <f aca="false">W22-AB22</f>
        <v>0</v>
      </c>
      <c r="AD22" s="11" t="n">
        <f aca="false">IF(Z22="D",ROUND(P22*G22*Parametri!$B$4/1000*S22/12,2),0)</f>
        <v>0</v>
      </c>
      <c r="AE22" s="11" t="n">
        <f aca="false">AB22-AD22</f>
        <v>0</v>
      </c>
      <c r="AF22" s="12" t="str">
        <f aca="false">IF($A22="","",VLOOKUP(D22,Parametri!$I$8:$L$12,2,0))</f>
        <v/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8"/>
      <c r="G23" s="9"/>
      <c r="H23" s="7"/>
      <c r="I23" s="10"/>
      <c r="J23" s="10"/>
      <c r="K23" s="10"/>
      <c r="L23" s="10"/>
      <c r="M23" s="9"/>
      <c r="N23" s="11" t="n">
        <f aca="false">IF($A23="",0,F23*(1+Parametri!$B$5))</f>
        <v>0</v>
      </c>
      <c r="O23" s="12" t="n">
        <f aca="false">IF($A23="",0,VLOOKUP(E23,Parametri!$D$8:$G$24,2,0))</f>
        <v>0</v>
      </c>
      <c r="P23" s="11" t="n">
        <f aca="false">IF($A23="",0,N23*O23*(1-M23))</f>
        <v>0</v>
      </c>
      <c r="Q23" s="13" t="n">
        <f aca="false">IF($A23="",0,VLOOKUP(D23,Parametri!$I$8:$L$12,3,0))</f>
        <v>0</v>
      </c>
      <c r="R23" s="13" t="n">
        <f aca="false">IF($A23="",0,VLOOKUP(D23,Parametri!$I$8:$L$12,4,0))</f>
        <v>0</v>
      </c>
      <c r="S23" s="14" t="n">
        <f aca="false">IF($A23="",0,IF(H23="Sì",MIN(I23,K23),I23))</f>
        <v>0</v>
      </c>
      <c r="T23" s="14" t="n">
        <f aca="false">IF($A23="",0,IF(H23="Sì",MIN(J23,L23),J23))</f>
        <v>0</v>
      </c>
      <c r="U23" s="11" t="n">
        <f aca="false">IF($A23="",0,ROUND(P23*G23*Q23/1000*(I23+J23)/12,2))</f>
        <v>0</v>
      </c>
      <c r="V23" s="11" t="n">
        <f aca="false">IF($A23="",0,ROUND(P23*G23*Q23/1000*S23/12,2))</f>
        <v>0</v>
      </c>
      <c r="W23" s="11" t="n">
        <f aca="false">IF($A23="",0,ROUND(P23*G23*R23/1000*(S23+T23)/12,2))</f>
        <v>0</v>
      </c>
      <c r="X23" s="11" t="n">
        <f aca="false">W23-V23</f>
        <v>0</v>
      </c>
      <c r="Y23" s="11" t="n">
        <f aca="false">U23-W23</f>
        <v>0</v>
      </c>
      <c r="Z23" s="12" t="n">
        <f aca="false">IF($A23="",0,VLOOKUP(E23,Parametri!$D$8:$G$24,3,0))</f>
        <v>0</v>
      </c>
      <c r="AA23" s="12" t="str">
        <f aca="false">IF($A23="","",VLOOKUP(E23,Parametri!$D$8:$G$24,4,0))</f>
        <v/>
      </c>
      <c r="AB23" s="11" t="n">
        <f aca="false">IF(Z23="D",ROUND(P23*G23*Parametri!$B$4/1000*(S23+T23)/12,2),0)</f>
        <v>0</v>
      </c>
      <c r="AC23" s="11" t="n">
        <f aca="false">W23-AB23</f>
        <v>0</v>
      </c>
      <c r="AD23" s="11" t="n">
        <f aca="false">IF(Z23="D",ROUND(P23*G23*Parametri!$B$4/1000*S23/12,2),0)</f>
        <v>0</v>
      </c>
      <c r="AE23" s="11" t="n">
        <f aca="false">AB23-AD23</f>
        <v>0</v>
      </c>
      <c r="AF23" s="12" t="str">
        <f aca="false">IF($A23="","",VLOOKUP(D23,Parametri!$I$8:$L$12,2,0))</f>
        <v/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8"/>
      <c r="G24" s="9"/>
      <c r="H24" s="7"/>
      <c r="I24" s="10"/>
      <c r="J24" s="10"/>
      <c r="K24" s="10"/>
      <c r="L24" s="10"/>
      <c r="M24" s="9"/>
      <c r="N24" s="11" t="n">
        <f aca="false">IF($A24="",0,F24*(1+Parametri!$B$5))</f>
        <v>0</v>
      </c>
      <c r="O24" s="12" t="n">
        <f aca="false">IF($A24="",0,VLOOKUP(E24,Parametri!$D$8:$G$24,2,0))</f>
        <v>0</v>
      </c>
      <c r="P24" s="11" t="n">
        <f aca="false">IF($A24="",0,N24*O24*(1-M24))</f>
        <v>0</v>
      </c>
      <c r="Q24" s="13" t="n">
        <f aca="false">IF($A24="",0,VLOOKUP(D24,Parametri!$I$8:$L$12,3,0))</f>
        <v>0</v>
      </c>
      <c r="R24" s="13" t="n">
        <f aca="false">IF($A24="",0,VLOOKUP(D24,Parametri!$I$8:$L$12,4,0))</f>
        <v>0</v>
      </c>
      <c r="S24" s="14" t="n">
        <f aca="false">IF($A24="",0,IF(H24="Sì",MIN(I24,K24),I24))</f>
        <v>0</v>
      </c>
      <c r="T24" s="14" t="n">
        <f aca="false">IF($A24="",0,IF(H24="Sì",MIN(J24,L24),J24))</f>
        <v>0</v>
      </c>
      <c r="U24" s="11" t="n">
        <f aca="false">IF($A24="",0,ROUND(P24*G24*Q24/1000*(I24+J24)/12,2))</f>
        <v>0</v>
      </c>
      <c r="V24" s="11" t="n">
        <f aca="false">IF($A24="",0,ROUND(P24*G24*Q24/1000*S24/12,2))</f>
        <v>0</v>
      </c>
      <c r="W24" s="11" t="n">
        <f aca="false">IF($A24="",0,ROUND(P24*G24*R24/1000*(S24+T24)/12,2))</f>
        <v>0</v>
      </c>
      <c r="X24" s="11" t="n">
        <f aca="false">W24-V24</f>
        <v>0</v>
      </c>
      <c r="Y24" s="11" t="n">
        <f aca="false">U24-W24</f>
        <v>0</v>
      </c>
      <c r="Z24" s="12" t="n">
        <f aca="false">IF($A24="",0,VLOOKUP(E24,Parametri!$D$8:$G$24,3,0))</f>
        <v>0</v>
      </c>
      <c r="AA24" s="12" t="str">
        <f aca="false">IF($A24="","",VLOOKUP(E24,Parametri!$D$8:$G$24,4,0))</f>
        <v/>
      </c>
      <c r="AB24" s="11" t="n">
        <f aca="false">IF(Z24="D",ROUND(P24*G24*Parametri!$B$4/1000*(S24+T24)/12,2),0)</f>
        <v>0</v>
      </c>
      <c r="AC24" s="11" t="n">
        <f aca="false">W24-AB24</f>
        <v>0</v>
      </c>
      <c r="AD24" s="11" t="n">
        <f aca="false">IF(Z24="D",ROUND(P24*G24*Parametri!$B$4/1000*S24/12,2),0)</f>
        <v>0</v>
      </c>
      <c r="AE24" s="11" t="n">
        <f aca="false">AB24-AD24</f>
        <v>0</v>
      </c>
      <c r="AF24" s="12" t="str">
        <f aca="false">IF($A24="","",VLOOKUP(D24,Parametri!$I$8:$L$12,2,0))</f>
        <v/>
      </c>
    </row>
    <row r="25" customFormat="false" ht="15" hidden="false" customHeight="false" outlineLevel="0" collapsed="false">
      <c r="A25" s="7"/>
      <c r="B25" s="7"/>
      <c r="C25" s="7"/>
      <c r="D25" s="7"/>
      <c r="E25" s="7"/>
      <c r="F25" s="8"/>
      <c r="G25" s="9"/>
      <c r="H25" s="7"/>
      <c r="I25" s="10"/>
      <c r="J25" s="10"/>
      <c r="K25" s="10"/>
      <c r="L25" s="10"/>
      <c r="M25" s="9"/>
      <c r="N25" s="11" t="n">
        <f aca="false">IF($A25="",0,F25*(1+Parametri!$B$5))</f>
        <v>0</v>
      </c>
      <c r="O25" s="12" t="n">
        <f aca="false">IF($A25="",0,VLOOKUP(E25,Parametri!$D$8:$G$24,2,0))</f>
        <v>0</v>
      </c>
      <c r="P25" s="11" t="n">
        <f aca="false">IF($A25="",0,N25*O25*(1-M25))</f>
        <v>0</v>
      </c>
      <c r="Q25" s="13" t="n">
        <f aca="false">IF($A25="",0,VLOOKUP(D25,Parametri!$I$8:$L$12,3,0))</f>
        <v>0</v>
      </c>
      <c r="R25" s="13" t="n">
        <f aca="false">IF($A25="",0,VLOOKUP(D25,Parametri!$I$8:$L$12,4,0))</f>
        <v>0</v>
      </c>
      <c r="S25" s="14" t="n">
        <f aca="false">IF($A25="",0,IF(H25="Sì",MIN(I25,K25),I25))</f>
        <v>0</v>
      </c>
      <c r="T25" s="14" t="n">
        <f aca="false">IF($A25="",0,IF(H25="Sì",MIN(J25,L25),J25))</f>
        <v>0</v>
      </c>
      <c r="U25" s="11" t="n">
        <f aca="false">IF($A25="",0,ROUND(P25*G25*Q25/1000*(I25+J25)/12,2))</f>
        <v>0</v>
      </c>
      <c r="V25" s="11" t="n">
        <f aca="false">IF($A25="",0,ROUND(P25*G25*Q25/1000*S25/12,2))</f>
        <v>0</v>
      </c>
      <c r="W25" s="11" t="n">
        <f aca="false">IF($A25="",0,ROUND(P25*G25*R25/1000*(S25+T25)/12,2))</f>
        <v>0</v>
      </c>
      <c r="X25" s="11" t="n">
        <f aca="false">W25-V25</f>
        <v>0</v>
      </c>
      <c r="Y25" s="11" t="n">
        <f aca="false">U25-W25</f>
        <v>0</v>
      </c>
      <c r="Z25" s="12" t="n">
        <f aca="false">IF($A25="",0,VLOOKUP(E25,Parametri!$D$8:$G$24,3,0))</f>
        <v>0</v>
      </c>
      <c r="AA25" s="12" t="str">
        <f aca="false">IF($A25="","",VLOOKUP(E25,Parametri!$D$8:$G$24,4,0))</f>
        <v/>
      </c>
      <c r="AB25" s="11" t="n">
        <f aca="false">IF(Z25="D",ROUND(P25*G25*Parametri!$B$4/1000*(S25+T25)/12,2),0)</f>
        <v>0</v>
      </c>
      <c r="AC25" s="11" t="n">
        <f aca="false">W25-AB25</f>
        <v>0</v>
      </c>
      <c r="AD25" s="11" t="n">
        <f aca="false">IF(Z25="D",ROUND(P25*G25*Parametri!$B$4/1000*S25/12,2),0)</f>
        <v>0</v>
      </c>
      <c r="AE25" s="11" t="n">
        <f aca="false">AB25-AD25</f>
        <v>0</v>
      </c>
      <c r="AF25" s="12" t="str">
        <f aca="false">IF($A25="","",VLOOKUP(D25,Parametri!$I$8:$L$12,2,0))</f>
        <v/>
      </c>
    </row>
    <row r="26" customFormat="false" ht="15" hidden="false" customHeight="false" outlineLevel="0" collapsed="false">
      <c r="A26" s="7"/>
      <c r="B26" s="7"/>
      <c r="C26" s="7"/>
      <c r="D26" s="7"/>
      <c r="E26" s="7"/>
      <c r="F26" s="8"/>
      <c r="G26" s="9"/>
      <c r="H26" s="7"/>
      <c r="I26" s="10"/>
      <c r="J26" s="10"/>
      <c r="K26" s="10"/>
      <c r="L26" s="10"/>
      <c r="M26" s="9"/>
      <c r="N26" s="11" t="n">
        <f aca="false">IF($A26="",0,F26*(1+Parametri!$B$5))</f>
        <v>0</v>
      </c>
      <c r="O26" s="12" t="n">
        <f aca="false">IF($A26="",0,VLOOKUP(E26,Parametri!$D$8:$G$24,2,0))</f>
        <v>0</v>
      </c>
      <c r="P26" s="11" t="n">
        <f aca="false">IF($A26="",0,N26*O26*(1-M26))</f>
        <v>0</v>
      </c>
      <c r="Q26" s="13" t="n">
        <f aca="false">IF($A26="",0,VLOOKUP(D26,Parametri!$I$8:$L$12,3,0))</f>
        <v>0</v>
      </c>
      <c r="R26" s="13" t="n">
        <f aca="false">IF($A26="",0,VLOOKUP(D26,Parametri!$I$8:$L$12,4,0))</f>
        <v>0</v>
      </c>
      <c r="S26" s="14" t="n">
        <f aca="false">IF($A26="",0,IF(H26="Sì",MIN(I26,K26),I26))</f>
        <v>0</v>
      </c>
      <c r="T26" s="14" t="n">
        <f aca="false">IF($A26="",0,IF(H26="Sì",MIN(J26,L26),J26))</f>
        <v>0</v>
      </c>
      <c r="U26" s="11" t="n">
        <f aca="false">IF($A26="",0,ROUND(P26*G26*Q26/1000*(I26+J26)/12,2))</f>
        <v>0</v>
      </c>
      <c r="V26" s="11" t="n">
        <f aca="false">IF($A26="",0,ROUND(P26*G26*Q26/1000*S26/12,2))</f>
        <v>0</v>
      </c>
      <c r="W26" s="11" t="n">
        <f aca="false">IF($A26="",0,ROUND(P26*G26*R26/1000*(S26+T26)/12,2))</f>
        <v>0</v>
      </c>
      <c r="X26" s="11" t="n">
        <f aca="false">W26-V26</f>
        <v>0</v>
      </c>
      <c r="Y26" s="11" t="n">
        <f aca="false">U26-W26</f>
        <v>0</v>
      </c>
      <c r="Z26" s="12" t="n">
        <f aca="false">IF($A26="",0,VLOOKUP(E26,Parametri!$D$8:$G$24,3,0))</f>
        <v>0</v>
      </c>
      <c r="AA26" s="12" t="str">
        <f aca="false">IF($A26="","",VLOOKUP(E26,Parametri!$D$8:$G$24,4,0))</f>
        <v/>
      </c>
      <c r="AB26" s="11" t="n">
        <f aca="false">IF(Z26="D",ROUND(P26*G26*Parametri!$B$4/1000*(S26+T26)/12,2),0)</f>
        <v>0</v>
      </c>
      <c r="AC26" s="11" t="n">
        <f aca="false">W26-AB26</f>
        <v>0</v>
      </c>
      <c r="AD26" s="11" t="n">
        <f aca="false">IF(Z26="D",ROUND(P26*G26*Parametri!$B$4/1000*S26/12,2),0)</f>
        <v>0</v>
      </c>
      <c r="AE26" s="11" t="n">
        <f aca="false">AB26-AD26</f>
        <v>0</v>
      </c>
      <c r="AF26" s="12" t="str">
        <f aca="false">IF($A26="","",VLOOKUP(D26,Parametri!$I$8:$L$12,2,0))</f>
        <v/>
      </c>
    </row>
    <row r="27" customFormat="false" ht="15" hidden="false" customHeight="false" outlineLevel="0" collapsed="false">
      <c r="A27" s="15" t="s">
        <v>88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 t="n">
        <f aca="false">SUM(U5:U26)</f>
        <v>25297.17</v>
      </c>
      <c r="V27" s="17" t="n">
        <f aca="false">SUM(V5:V26)</f>
        <v>12170.87</v>
      </c>
      <c r="W27" s="17" t="n">
        <f aca="false">SUM(W5:W26)</f>
        <v>24521.62</v>
      </c>
      <c r="X27" s="17" t="n">
        <f aca="false">SUM(X5:X26)</f>
        <v>12350.75</v>
      </c>
      <c r="Y27" s="17" t="n">
        <f aca="false">SUM(Y5:Y26)</f>
        <v>775.55</v>
      </c>
      <c r="Z27" s="16"/>
      <c r="AA27" s="16"/>
      <c r="AB27" s="17" t="n">
        <f aca="false">SUM(AB5:AB26)</f>
        <v>5083.26</v>
      </c>
      <c r="AC27" s="17" t="n">
        <f aca="false">SUM(AC5:AC26)</f>
        <v>19438.36</v>
      </c>
      <c r="AD27" s="17" t="n">
        <f aca="false">SUM(AD5:AD26)</f>
        <v>2541.63</v>
      </c>
      <c r="AE27" s="17" t="n">
        <f aca="false">SUM(AE5:AE26)</f>
        <v>2541.63</v>
      </c>
      <c r="AF27" s="16"/>
    </row>
  </sheetData>
  <dataValidations count="1">
    <dataValidation allowBlank="false" errorStyle="stop" operator="between" showDropDown="false" showErrorMessage="false" showInputMessage="false" sqref="H5:H26" type="list">
      <formula1>"Sì,No"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7" min="5" style="0" width="16"/>
  </cols>
  <sheetData>
    <row r="1" customFormat="false" ht="19.7" hidden="false" customHeight="false" outlineLevel="0" collapsed="false">
      <c r="A1" s="1" t="s">
        <v>89</v>
      </c>
    </row>
    <row r="4" customFormat="false" ht="31.5" hidden="false" customHeight="true" outlineLevel="0" collapsed="false">
      <c r="A4" s="6" t="s">
        <v>17</v>
      </c>
      <c r="B4" s="6" t="s">
        <v>20</v>
      </c>
      <c r="C4" s="6" t="s">
        <v>90</v>
      </c>
      <c r="D4" s="6" t="s">
        <v>91</v>
      </c>
      <c r="E4" s="6" t="s">
        <v>38</v>
      </c>
      <c r="F4" s="6" t="s">
        <v>40</v>
      </c>
      <c r="G4" s="6" t="s">
        <v>92</v>
      </c>
    </row>
    <row r="5" customFormat="false" ht="15" hidden="false" customHeight="false" outlineLevel="0" collapsed="false">
      <c r="A5" s="12" t="s">
        <v>49</v>
      </c>
      <c r="B5" s="12" t="s">
        <v>52</v>
      </c>
      <c r="C5" s="12" t="str">
        <f aca="false">VLOOKUP(B5,Parametri!$I$8:$L$12,2,0)</f>
        <v>F839</v>
      </c>
      <c r="D5" s="12" t="s">
        <v>93</v>
      </c>
      <c r="E5" s="11" t="n">
        <f aca="false">SUMIFS('Calcolo IMU'!$V$5:$V$26,'Calcolo IMU'!$A$5:$A$26,A5,'Calcolo IMU'!$D$5:$D$26,B5,'Calcolo IMU'!$AA$5:$AA$26,"3918")</f>
        <v>3424.14</v>
      </c>
      <c r="F5" s="11" t="n">
        <f aca="false">SUMIFS('Calcolo IMU'!$X$5:$X$26,'Calcolo IMU'!$A$5:$A$26,A5,'Calcolo IMU'!$D$5:$D$26,B5,'Calcolo IMU'!$AA$5:$AA$26,"3918")</f>
        <v>3424.15</v>
      </c>
      <c r="G5" s="11" t="n">
        <f aca="false">E5+F5</f>
        <v>6848.29</v>
      </c>
    </row>
    <row r="6" customFormat="false" ht="15" hidden="false" customHeight="false" outlineLevel="0" collapsed="false">
      <c r="A6" s="12" t="s">
        <v>49</v>
      </c>
      <c r="B6" s="12" t="s">
        <v>63</v>
      </c>
      <c r="C6" s="12" t="str">
        <f aca="false">VLOOKUP(B6,Parametri!$I$8:$L$12,2,0)</f>
        <v>G964</v>
      </c>
      <c r="D6" s="12" t="s">
        <v>93</v>
      </c>
      <c r="E6" s="11" t="n">
        <f aca="false">SUMIFS('Calcolo IMU'!$V$5:$V$26,'Calcolo IMU'!$A$5:$A$26,A6,'Calcolo IMU'!$D$5:$D$26,B6,'Calcolo IMU'!$AA$5:$AA$26,"3918")</f>
        <v>836.97</v>
      </c>
      <c r="F6" s="11" t="n">
        <f aca="false">SUMIFS('Calcolo IMU'!$X$5:$X$26,'Calcolo IMU'!$A$5:$A$26,A6,'Calcolo IMU'!$D$5:$D$26,B6,'Calcolo IMU'!$AA$5:$AA$26,"3918")</f>
        <v>836.98</v>
      </c>
      <c r="G6" s="11" t="n">
        <f aca="false">E6+F6</f>
        <v>1673.95</v>
      </c>
    </row>
    <row r="7" customFormat="false" ht="15" hidden="false" customHeight="false" outlineLevel="0" collapsed="false">
      <c r="A7" s="12" t="s">
        <v>49</v>
      </c>
      <c r="B7" s="12" t="s">
        <v>70</v>
      </c>
      <c r="C7" s="12" t="str">
        <f aca="false">VLOOKUP(B7,Parametri!$I$8:$L$12,2,0)</f>
        <v>B990</v>
      </c>
      <c r="D7" s="12" t="s">
        <v>94</v>
      </c>
      <c r="E7" s="11" t="n">
        <f aca="false">SUMIFS('Calcolo IMU'!$AD$5:$AD$26,'Calcolo IMU'!$A$5:$A$26,A7,'Calcolo IMU'!$D$5:$D$26,B7,'Calcolo IMU'!$Z$5:$Z$26,"D")</f>
        <v>2541.63</v>
      </c>
      <c r="F7" s="11" t="n">
        <f aca="false">SUMIFS('Calcolo IMU'!$AE$5:$AE$26,'Calcolo IMU'!$A$5:$A$26,A7,'Calcolo IMU'!$D$5:$D$26,B7,'Calcolo IMU'!$Z$5:$Z$26,"D")</f>
        <v>2541.63</v>
      </c>
      <c r="G7" s="11" t="n">
        <f aca="false">E7+F7</f>
        <v>5083.26</v>
      </c>
    </row>
    <row r="8" customFormat="false" ht="15" hidden="false" customHeight="false" outlineLevel="0" collapsed="false">
      <c r="A8" s="12" t="s">
        <v>49</v>
      </c>
      <c r="B8" s="12" t="s">
        <v>70</v>
      </c>
      <c r="C8" s="12" t="str">
        <f aca="false">VLOOKUP(B8,Parametri!$I$8:$L$12,2,0)</f>
        <v>B990</v>
      </c>
      <c r="D8" s="12" t="s">
        <v>95</v>
      </c>
      <c r="E8" s="11" t="n">
        <f aca="false">SUMIFS('Calcolo IMU'!$V$5:$V$26,'Calcolo IMU'!$A$5:$A$26,A8,'Calcolo IMU'!$D$5:$D$26,B8,'Calcolo IMU'!$Z$5:$Z$26,"D")-SUMIFS('Calcolo IMU'!$AD$5:$AD$26,'Calcolo IMU'!$A$5:$A$26,A8,'Calcolo IMU'!$D$5:$D$26,B8,'Calcolo IMU'!$Z$5:$Z$26,"D")</f>
        <v>1003.28</v>
      </c>
      <c r="F8" s="11" t="n">
        <f aca="false">SUMIFS('Calcolo IMU'!$X$5:$X$26,'Calcolo IMU'!$A$5:$A$26,A8,'Calcolo IMU'!$D$5:$D$26,B8,'Calcolo IMU'!$Z$5:$Z$26,"D")-SUMIFS('Calcolo IMU'!$AE$5:$AE$26,'Calcolo IMU'!$A$5:$A$26,A8,'Calcolo IMU'!$D$5:$D$26,B8,'Calcolo IMU'!$Z$5:$Z$26,"D")</f>
        <v>1003.27</v>
      </c>
      <c r="G8" s="11" t="n">
        <f aca="false">E8+F8</f>
        <v>2006.55</v>
      </c>
    </row>
    <row r="9" customFormat="false" ht="15" hidden="false" customHeight="false" outlineLevel="0" collapsed="false">
      <c r="A9" s="12" t="s">
        <v>73</v>
      </c>
      <c r="B9" s="12" t="s">
        <v>52</v>
      </c>
      <c r="C9" s="12" t="str">
        <f aca="false">VLOOKUP(B9,Parametri!$I$8:$L$12,2,0)</f>
        <v>F839</v>
      </c>
      <c r="D9" s="12" t="s">
        <v>93</v>
      </c>
      <c r="E9" s="11" t="n">
        <f aca="false">SUMIFS('Calcolo IMU'!$V$5:$V$26,'Calcolo IMU'!$A$5:$A$26,A9,'Calcolo IMU'!$D$5:$D$26,B9,'Calcolo IMU'!$AA$5:$AA$26,"3918")</f>
        <v>1380.12</v>
      </c>
      <c r="F9" s="11" t="n">
        <f aca="false">SUMIFS('Calcolo IMU'!$X$5:$X$26,'Calcolo IMU'!$A$5:$A$26,A9,'Calcolo IMU'!$D$5:$D$26,B9,'Calcolo IMU'!$AA$5:$AA$26,"3918")</f>
        <v>1380.12</v>
      </c>
      <c r="G9" s="11" t="n">
        <f aca="false">E9+F9</f>
        <v>2760.24</v>
      </c>
    </row>
    <row r="10" customFormat="false" ht="15" hidden="false" customHeight="false" outlineLevel="0" collapsed="false">
      <c r="A10" s="12" t="s">
        <v>73</v>
      </c>
      <c r="B10" s="12" t="s">
        <v>63</v>
      </c>
      <c r="C10" s="12" t="str">
        <f aca="false">VLOOKUP(B10,Parametri!$I$8:$L$12,2,0)</f>
        <v>G964</v>
      </c>
      <c r="D10" s="12" t="s">
        <v>93</v>
      </c>
      <c r="E10" s="11" t="n">
        <f aca="false">SUMIFS('Calcolo IMU'!$V$5:$V$26,'Calcolo IMU'!$A$5:$A$26,A10,'Calcolo IMU'!$D$5:$D$26,B10,'Calcolo IMU'!$AA$5:$AA$26,"3918")</f>
        <v>0</v>
      </c>
      <c r="F10" s="11" t="n">
        <f aca="false">SUMIFS('Calcolo IMU'!$X$5:$X$26,'Calcolo IMU'!$A$5:$A$26,A10,'Calcolo IMU'!$D$5:$D$26,B10,'Calcolo IMU'!$AA$5:$AA$26,"3918")</f>
        <v>0</v>
      </c>
      <c r="G10" s="11" t="n">
        <f aca="false">E10+F10</f>
        <v>0</v>
      </c>
    </row>
    <row r="11" customFormat="false" ht="15" hidden="false" customHeight="false" outlineLevel="0" collapsed="false">
      <c r="A11" s="12" t="s">
        <v>73</v>
      </c>
      <c r="B11" s="12" t="s">
        <v>76</v>
      </c>
      <c r="C11" s="12" t="str">
        <f aca="false">VLOOKUP(B11,Parametri!$I$8:$L$12,2,0)</f>
        <v>B963</v>
      </c>
      <c r="D11" s="12" t="s">
        <v>93</v>
      </c>
      <c r="E11" s="11" t="n">
        <f aca="false">SUMIFS('Calcolo IMU'!$V$5:$V$26,'Calcolo IMU'!$A$5:$A$26,A11,'Calcolo IMU'!$D$5:$D$26,B11,'Calcolo IMU'!$AA$5:$AA$26,"3918")</f>
        <v>1780.8</v>
      </c>
      <c r="F11" s="11" t="n">
        <f aca="false">SUMIFS('Calcolo IMU'!$X$5:$X$26,'Calcolo IMU'!$A$5:$A$26,A11,'Calcolo IMU'!$D$5:$D$26,B11,'Calcolo IMU'!$AA$5:$AA$26,"3918")</f>
        <v>1780.8</v>
      </c>
      <c r="G11" s="11" t="n">
        <f aca="false">E11+F11</f>
        <v>3561.6</v>
      </c>
    </row>
    <row r="12" customFormat="false" ht="15" hidden="false" customHeight="false" outlineLevel="0" collapsed="false">
      <c r="A12" s="12" t="s">
        <v>73</v>
      </c>
      <c r="B12" s="12" t="s">
        <v>81</v>
      </c>
      <c r="C12" s="12" t="str">
        <f aca="false">VLOOKUP(B12,Parametri!$I$8:$L$12,2,0)</f>
        <v>H703</v>
      </c>
      <c r="D12" s="12" t="s">
        <v>93</v>
      </c>
      <c r="E12" s="11" t="n">
        <f aca="false">SUMIFS('Calcolo IMU'!$V$5:$V$26,'Calcolo IMU'!$A$5:$A$26,A12,'Calcolo IMU'!$D$5:$D$26,B12,'Calcolo IMU'!$AA$5:$AA$26,"3918")</f>
        <v>1203.93</v>
      </c>
      <c r="F12" s="11" t="n">
        <f aca="false">SUMIFS('Calcolo IMU'!$X$5:$X$26,'Calcolo IMU'!$A$5:$A$26,A12,'Calcolo IMU'!$D$5:$D$26,B12,'Calcolo IMU'!$AA$5:$AA$26,"3918")</f>
        <v>1383.8</v>
      </c>
      <c r="G12" s="11" t="n">
        <f aca="false">E12+F12</f>
        <v>2587.73</v>
      </c>
    </row>
    <row r="14" customFormat="false" ht="15" hidden="false" customHeight="false" outlineLevel="0" collapsed="false">
      <c r="A14" s="18" t="s">
        <v>96</v>
      </c>
      <c r="B14" s="19"/>
      <c r="C14" s="19"/>
      <c r="D14" s="19"/>
      <c r="E14" s="20" t="n">
        <f aca="false">SUMIFS(E$5:E$12,$A$5:$A$12,"IU")</f>
        <v>7806.02</v>
      </c>
      <c r="F14" s="20" t="n">
        <f aca="false">SUMIFS(F$5:F$12,$A$5:$A$12,"IU")</f>
        <v>7806.03</v>
      </c>
      <c r="G14" s="20" t="n">
        <f aca="false">SUMIFS(G$5:G$12,$A$5:$A$12,"IU")</f>
        <v>15612.05</v>
      </c>
    </row>
    <row r="15" customFormat="false" ht="15" hidden="false" customHeight="false" outlineLevel="0" collapsed="false">
      <c r="A15" s="18" t="s">
        <v>97</v>
      </c>
      <c r="B15" s="19"/>
      <c r="C15" s="19"/>
      <c r="D15" s="19"/>
      <c r="E15" s="20" t="n">
        <f aca="false">SUMIFS(E$5:E$12,$A$5:$A$12,"ID")</f>
        <v>4364.85</v>
      </c>
      <c r="F15" s="20" t="n">
        <f aca="false">SUMIFS(F$5:F$12,$A$5:$A$12,"ID")</f>
        <v>4544.72</v>
      </c>
      <c r="G15" s="20" t="n">
        <f aca="false">SUMIFS(G$5:G$12,$A$5:$A$12,"ID")</f>
        <v>8909.57</v>
      </c>
    </row>
    <row r="16" customFormat="false" ht="15" hidden="false" customHeight="false" outlineLevel="0" collapsed="false">
      <c r="A16" s="15" t="s">
        <v>98</v>
      </c>
      <c r="B16" s="16"/>
      <c r="C16" s="16"/>
      <c r="D16" s="16"/>
      <c r="E16" s="17" t="n">
        <f aca="false">SUM(E5:E12)</f>
        <v>12170.87</v>
      </c>
      <c r="F16" s="17" t="n">
        <f aca="false">SUM(F5:F12)</f>
        <v>12350.75</v>
      </c>
      <c r="G16" s="17" t="n">
        <f aca="false">SUM(G5:G12)</f>
        <v>24521.62</v>
      </c>
    </row>
    <row r="18" customFormat="false" ht="15" hidden="false" customHeight="false" outlineLevel="0" collapsed="false">
      <c r="A18" s="5" t="s">
        <v>99</v>
      </c>
      <c r="G18" s="11" t="n">
        <f aca="false">'Calcolo IMU'!W27</f>
        <v>24521.62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100</v>
      </c>
    </row>
    <row r="2" customFormat="false" ht="15" hidden="false" customHeight="false" outlineLevel="0" collapsed="false">
      <c r="A2" s="5" t="s">
        <v>101</v>
      </c>
    </row>
    <row r="4" customFormat="false" ht="31.5" hidden="false" customHeight="true" outlineLevel="0" collapsed="false">
      <c r="A4" s="6" t="s">
        <v>17</v>
      </c>
      <c r="B4" s="6" t="s">
        <v>20</v>
      </c>
      <c r="C4" s="6" t="s">
        <v>37</v>
      </c>
      <c r="D4" s="6" t="s">
        <v>102</v>
      </c>
      <c r="E4" s="6" t="s">
        <v>103</v>
      </c>
      <c r="F4" s="6" t="s">
        <v>104</v>
      </c>
    </row>
    <row r="5" customFormat="false" ht="15" hidden="false" customHeight="false" outlineLevel="0" collapsed="false">
      <c r="A5" s="12" t="s">
        <v>49</v>
      </c>
      <c r="B5" s="12" t="s">
        <v>52</v>
      </c>
      <c r="C5" s="11" t="n">
        <f aca="false">SUMIFS('Calcolo IMU'!$U$5:$U$26,'Calcolo IMU'!$A$5:$A$26,A5,'Calcolo IMU'!$D$5:$D$26,B5)</f>
        <v>6848.29</v>
      </c>
      <c r="D5" s="11" t="n">
        <f aca="false">SUMIFS('Calcolo IMU'!$W$5:$W$26,'Calcolo IMU'!$A$5:$A$26,A5,'Calcolo IMU'!$D$5:$D$26,B5)</f>
        <v>6848.29</v>
      </c>
      <c r="E5" s="11" t="n">
        <f aca="false">C5-D5</f>
        <v>0</v>
      </c>
      <c r="F5" s="21" t="n">
        <f aca="false">IFERROR(E5/C5,0)</f>
        <v>0</v>
      </c>
    </row>
    <row r="6" customFormat="false" ht="15" hidden="false" customHeight="false" outlineLevel="0" collapsed="false">
      <c r="A6" s="12" t="s">
        <v>49</v>
      </c>
      <c r="B6" s="12" t="s">
        <v>63</v>
      </c>
      <c r="C6" s="11" t="n">
        <f aca="false">SUMIFS('Calcolo IMU'!$U$5:$U$26,'Calcolo IMU'!$A$5:$A$26,A6,'Calcolo IMU'!$D$5:$D$26,B6)</f>
        <v>1673.95</v>
      </c>
      <c r="D6" s="11" t="n">
        <f aca="false">SUMIFS('Calcolo IMU'!$W$5:$W$26,'Calcolo IMU'!$A$5:$A$26,A6,'Calcolo IMU'!$D$5:$D$26,B6)</f>
        <v>1673.95</v>
      </c>
      <c r="E6" s="11" t="n">
        <f aca="false">C6-D6</f>
        <v>0</v>
      </c>
      <c r="F6" s="21" t="n">
        <f aca="false">IFERROR(E6/C6,0)</f>
        <v>0</v>
      </c>
    </row>
    <row r="7" customFormat="false" ht="15" hidden="false" customHeight="false" outlineLevel="0" collapsed="false">
      <c r="A7" s="12" t="s">
        <v>49</v>
      </c>
      <c r="B7" s="12" t="s">
        <v>70</v>
      </c>
      <c r="C7" s="11" t="n">
        <f aca="false">SUMIFS('Calcolo IMU'!$U$5:$U$26,'Calcolo IMU'!$A$5:$A$26,A7,'Calcolo IMU'!$D$5:$D$26,B7)</f>
        <v>7089.81</v>
      </c>
      <c r="D7" s="11" t="n">
        <f aca="false">SUMIFS('Calcolo IMU'!$W$5:$W$26,'Calcolo IMU'!$A$5:$A$26,A7,'Calcolo IMU'!$D$5:$D$26,B7)</f>
        <v>7089.81</v>
      </c>
      <c r="E7" s="11" t="n">
        <f aca="false">C7-D7</f>
        <v>0</v>
      </c>
      <c r="F7" s="21" t="n">
        <f aca="false">IFERROR(E7/C7,0)</f>
        <v>0</v>
      </c>
    </row>
    <row r="8" customFormat="false" ht="15" hidden="false" customHeight="false" outlineLevel="0" collapsed="false">
      <c r="A8" s="12" t="s">
        <v>73</v>
      </c>
      <c r="B8" s="12" t="s">
        <v>52</v>
      </c>
      <c r="C8" s="11" t="n">
        <f aca="false">SUMIFS('Calcolo IMU'!$U$5:$U$26,'Calcolo IMU'!$A$5:$A$26,A8,'Calcolo IMU'!$D$5:$D$26,B8)</f>
        <v>2760.24</v>
      </c>
      <c r="D8" s="11" t="n">
        <f aca="false">SUMIFS('Calcolo IMU'!$W$5:$W$26,'Calcolo IMU'!$A$5:$A$26,A8,'Calcolo IMU'!$D$5:$D$26,B8)</f>
        <v>2760.24</v>
      </c>
      <c r="E8" s="11" t="n">
        <f aca="false">C8-D8</f>
        <v>0</v>
      </c>
      <c r="F8" s="21" t="n">
        <f aca="false">IFERROR(E8/C8,0)</f>
        <v>0</v>
      </c>
    </row>
    <row r="9" customFormat="false" ht="15" hidden="false" customHeight="false" outlineLevel="0" collapsed="false">
      <c r="A9" s="12" t="s">
        <v>73</v>
      </c>
      <c r="B9" s="12" t="s">
        <v>63</v>
      </c>
      <c r="C9" s="11" t="n">
        <f aca="false">SUMIFS('Calcolo IMU'!$U$5:$U$26,'Calcolo IMU'!$A$5:$A$26,A9,'Calcolo IMU'!$D$5:$D$26,B9)</f>
        <v>169.18</v>
      </c>
      <c r="D9" s="11" t="n">
        <f aca="false">SUMIFS('Calcolo IMU'!$W$5:$W$26,'Calcolo IMU'!$A$5:$A$26,A9,'Calcolo IMU'!$D$5:$D$26,B9)</f>
        <v>0</v>
      </c>
      <c r="E9" s="11" t="n">
        <f aca="false">C9-D9</f>
        <v>169.18</v>
      </c>
      <c r="F9" s="21" t="n">
        <f aca="false">IFERROR(E9/C9,0)</f>
        <v>1</v>
      </c>
    </row>
    <row r="10" customFormat="false" ht="15" hidden="false" customHeight="false" outlineLevel="0" collapsed="false">
      <c r="A10" s="12" t="s">
        <v>73</v>
      </c>
      <c r="B10" s="12" t="s">
        <v>76</v>
      </c>
      <c r="C10" s="11" t="n">
        <f aca="false">SUMIFS('Calcolo IMU'!$U$5:$U$26,'Calcolo IMU'!$A$5:$A$26,A10,'Calcolo IMU'!$D$5:$D$26,B10)</f>
        <v>3561.6</v>
      </c>
      <c r="D10" s="11" t="n">
        <f aca="false">SUMIFS('Calcolo IMU'!$W$5:$W$26,'Calcolo IMU'!$A$5:$A$26,A10,'Calcolo IMU'!$D$5:$D$26,B10)</f>
        <v>3561.6</v>
      </c>
      <c r="E10" s="11" t="n">
        <f aca="false">C10-D10</f>
        <v>0</v>
      </c>
      <c r="F10" s="21" t="n">
        <f aca="false">IFERROR(E10/C10,0)</f>
        <v>0</v>
      </c>
    </row>
    <row r="11" customFormat="false" ht="15" hidden="false" customHeight="false" outlineLevel="0" collapsed="false">
      <c r="A11" s="12" t="s">
        <v>73</v>
      </c>
      <c r="B11" s="12" t="s">
        <v>81</v>
      </c>
      <c r="C11" s="11" t="n">
        <f aca="false">SUMIFS('Calcolo IMU'!$U$5:$U$26,'Calcolo IMU'!$A$5:$A$26,A11,'Calcolo IMU'!$D$5:$D$26,B11)</f>
        <v>3194.1</v>
      </c>
      <c r="D11" s="11" t="n">
        <f aca="false">SUMIFS('Calcolo IMU'!$W$5:$W$26,'Calcolo IMU'!$A$5:$A$26,A11,'Calcolo IMU'!$D$5:$D$26,B11)</f>
        <v>2587.73</v>
      </c>
      <c r="E11" s="11" t="n">
        <f aca="false">C11-D11</f>
        <v>606.37</v>
      </c>
      <c r="F11" s="21" t="n">
        <f aca="false">IFERROR(E11/C11,0)</f>
        <v>0.189840643686798</v>
      </c>
    </row>
    <row r="13" customFormat="false" ht="15" hidden="false" customHeight="false" outlineLevel="0" collapsed="false">
      <c r="A13" s="22" t="s">
        <v>105</v>
      </c>
      <c r="C13" s="23" t="n">
        <f aca="false">SUMIFS(C$5:C$11,$A$5:$A$11,"IU")</f>
        <v>15612.05</v>
      </c>
      <c r="D13" s="23" t="n">
        <f aca="false">SUMIFS(D$5:D$11,$A$5:$A$11,"IU")</f>
        <v>15612.05</v>
      </c>
      <c r="E13" s="23" t="n">
        <f aca="false">SUMIFS(E$5:E$11,$A$5:$A$11,"IU")</f>
        <v>0</v>
      </c>
      <c r="F13" s="24" t="n">
        <f aca="false">IFERROR(E13/C13,0)</f>
        <v>0</v>
      </c>
    </row>
    <row r="14" customFormat="false" ht="15" hidden="false" customHeight="false" outlineLevel="0" collapsed="false">
      <c r="A14" s="22" t="s">
        <v>106</v>
      </c>
      <c r="C14" s="23" t="n">
        <f aca="false">SUMIFS(C$5:C$11,$A$5:$A$11,"ID")</f>
        <v>9685.12</v>
      </c>
      <c r="D14" s="23" t="n">
        <f aca="false">SUMIFS(D$5:D$11,$A$5:$A$11,"ID")</f>
        <v>8909.57</v>
      </c>
      <c r="E14" s="23" t="n">
        <f aca="false">SUMIFS(E$5:E$11,$A$5:$A$11,"ID")</f>
        <v>775.55</v>
      </c>
      <c r="F14" s="24" t="n">
        <f aca="false">IFERROR(E14/C14,0)</f>
        <v>0.0800764471684398</v>
      </c>
    </row>
    <row r="15" customFormat="false" ht="15" hidden="false" customHeight="false" outlineLevel="0" collapsed="false">
      <c r="A15" s="15" t="s">
        <v>88</v>
      </c>
      <c r="B15" s="16"/>
      <c r="C15" s="17" t="n">
        <f aca="false">SUM(C5:C11)</f>
        <v>25297.17</v>
      </c>
      <c r="D15" s="17" t="n">
        <f aca="false">SUM(D5:D11)</f>
        <v>24521.62</v>
      </c>
      <c r="E15" s="17" t="n">
        <f aca="false">SUM(E5:E11)</f>
        <v>775.55</v>
      </c>
      <c r="F15" s="25" t="n">
        <f aca="false">IFERROR(E15/C15,0)</f>
        <v>0.0306575794841874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107</v>
      </c>
    </row>
    <row r="2" customFormat="false" ht="15" hidden="false" customHeight="false" outlineLevel="0" collapsed="false">
      <c r="A2" s="5" t="s">
        <v>108</v>
      </c>
    </row>
    <row r="4" customFormat="false" ht="15" hidden="false" customHeight="false" outlineLevel="0" collapsed="false">
      <c r="A4" s="22" t="s">
        <v>109</v>
      </c>
      <c r="B4" s="7" t="s">
        <v>53</v>
      </c>
      <c r="D4" s="5" t="s">
        <v>110</v>
      </c>
    </row>
    <row r="5" customFormat="false" ht="15" hidden="false" customHeight="false" outlineLevel="0" collapsed="false">
      <c r="A5" s="22" t="s">
        <v>22</v>
      </c>
      <c r="B5" s="8" t="n">
        <v>2450</v>
      </c>
    </row>
    <row r="6" customFormat="false" ht="15" hidden="false" customHeight="false" outlineLevel="0" collapsed="false">
      <c r="A6" s="22" t="s">
        <v>20</v>
      </c>
      <c r="B6" s="7" t="s">
        <v>52</v>
      </c>
    </row>
    <row r="7" customFormat="false" ht="15" hidden="false" customHeight="false" outlineLevel="0" collapsed="false">
      <c r="A7" s="22" t="s">
        <v>111</v>
      </c>
      <c r="B7" s="9" t="n">
        <v>1</v>
      </c>
    </row>
    <row r="8" customFormat="false" ht="15" hidden="false" customHeight="false" outlineLevel="0" collapsed="false">
      <c r="A8" s="22" t="s">
        <v>112</v>
      </c>
      <c r="B8" s="10" t="n">
        <v>12</v>
      </c>
    </row>
    <row r="9" customFormat="false" ht="15" hidden="false" customHeight="false" outlineLevel="0" collapsed="false">
      <c r="A9" s="22" t="s">
        <v>113</v>
      </c>
      <c r="B9" s="10" t="n">
        <v>6</v>
      </c>
    </row>
    <row r="10" customFormat="false" ht="15" hidden="false" customHeight="false" outlineLevel="0" collapsed="false">
      <c r="A10" s="22" t="s">
        <v>114</v>
      </c>
      <c r="B10" s="9" t="n">
        <v>0</v>
      </c>
    </row>
    <row r="12" customFormat="false" ht="15" hidden="false" customHeight="false" outlineLevel="0" collapsed="false">
      <c r="A12" s="22" t="s">
        <v>115</v>
      </c>
      <c r="B12" s="11" t="n">
        <f aca="false">B5*(1+Parametri!$B$5)</f>
        <v>2572.5</v>
      </c>
    </row>
    <row r="13" customFormat="false" ht="15" hidden="false" customHeight="false" outlineLevel="0" collapsed="false">
      <c r="A13" s="22" t="s">
        <v>116</v>
      </c>
      <c r="B13" s="14" t="n">
        <f aca="false">VLOOKUP(B4,Parametri!$D$8:$G$24,2,0)</f>
        <v>80</v>
      </c>
    </row>
    <row r="14" customFormat="false" ht="15" hidden="false" customHeight="false" outlineLevel="0" collapsed="false">
      <c r="A14" s="22" t="s">
        <v>32</v>
      </c>
      <c r="B14" s="11" t="n">
        <f aca="false">B12*B13*(1-B10)</f>
        <v>205800</v>
      </c>
    </row>
    <row r="15" customFormat="false" ht="15" hidden="false" customHeight="false" outlineLevel="0" collapsed="false">
      <c r="A15" s="22" t="s">
        <v>117</v>
      </c>
      <c r="B15" s="13" t="n">
        <f aca="false">VLOOKUP(B6,Parametri!$I$8:$L$12,3,0)</f>
        <v>10.6</v>
      </c>
    </row>
    <row r="16" customFormat="false" ht="15" hidden="false" customHeight="false" outlineLevel="0" collapsed="false">
      <c r="A16" s="22" t="s">
        <v>118</v>
      </c>
      <c r="B16" s="13" t="n">
        <f aca="false">VLOOKUP(B6,Parametri!$I$8:$L$12,4,0)</f>
        <v>10.6</v>
      </c>
    </row>
    <row r="17" customFormat="false" ht="15" hidden="false" customHeight="false" outlineLevel="0" collapsed="false">
      <c r="A17" s="22" t="s">
        <v>39</v>
      </c>
      <c r="B17" s="17" t="n">
        <f aca="false">ROUND(B14*B7*B16/1000*B8/12,2)</f>
        <v>2181.48</v>
      </c>
    </row>
    <row r="18" customFormat="false" ht="15" hidden="false" customHeight="false" outlineLevel="0" collapsed="false">
      <c r="A18" s="22" t="s">
        <v>119</v>
      </c>
      <c r="B18" s="11" t="n">
        <f aca="false">ROUND(B14*B7*B15/1000*B9/12,2)</f>
        <v>1090.74</v>
      </c>
    </row>
    <row r="19" customFormat="false" ht="15" hidden="false" customHeight="false" outlineLevel="0" collapsed="false">
      <c r="A19" s="22" t="s">
        <v>120</v>
      </c>
      <c r="B19" s="11" t="n">
        <f aca="false">B17-B18</f>
        <v>1090.74</v>
      </c>
    </row>
    <row r="20" customFormat="false" ht="15" hidden="false" customHeight="false" outlineLevel="0" collapsed="false">
      <c r="A20" s="22" t="s">
        <v>121</v>
      </c>
      <c r="B20" s="12" t="str">
        <f aca="false">VLOOKUP(B4,Parametri!$D$8:$G$24,3,0)</f>
        <v>A10</v>
      </c>
    </row>
    <row r="21" customFormat="false" ht="15" hidden="false" customHeight="false" outlineLevel="0" collapsed="false">
      <c r="A21" s="22" t="s">
        <v>44</v>
      </c>
      <c r="B21" s="11" t="n">
        <f aca="false">IF(B20="D",ROUND(B14*B7*Parametri!$B$4/1000*B8/12,2),0)</f>
        <v>0</v>
      </c>
    </row>
    <row r="22" customFormat="false" ht="15" hidden="false" customHeight="false" outlineLevel="0" collapsed="false">
      <c r="A22" s="22" t="s">
        <v>45</v>
      </c>
      <c r="B22" s="11" t="n">
        <f aca="false">B17-B21</f>
        <v>2181.48</v>
      </c>
    </row>
    <row r="23" customFormat="false" ht="15" hidden="false" customHeight="false" outlineLevel="0" collapsed="false">
      <c r="A23" s="22" t="s">
        <v>122</v>
      </c>
      <c r="B23" s="12" t="str">
        <f aca="false">VLOOKUP(B4,Parametri!$D$8:$G$24,4,0)</f>
        <v>3918</v>
      </c>
    </row>
  </sheetData>
  <dataValidations count="2">
    <dataValidation allowBlank="false" errorStyle="stop" operator="between" showDropDown="false" showErrorMessage="false" showInputMessage="false" sqref="B4" type="list">
      <formula1>Parametri!$D$8:$D$24</formula1>
      <formula2>0</formula2>
    </dataValidation>
    <dataValidation allowBlank="false" errorStyle="stop" operator="between" showDropDown="false" showErrorMessage="false" showInputMessage="false" sqref="B6" type="list">
      <formula1>Parametri!$I$8:$I$12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4"/>
  </cols>
  <sheetData>
    <row r="1" customFormat="false" ht="19.7" hidden="false" customHeight="false" outlineLevel="0" collapsed="false">
      <c r="A1" s="1" t="s">
        <v>123</v>
      </c>
    </row>
    <row r="3" customFormat="false" ht="15" hidden="false" customHeight="false" outlineLevel="0" collapsed="false">
      <c r="A3" s="22" t="s">
        <v>124</v>
      </c>
      <c r="B3" s="7" t="n">
        <v>2027</v>
      </c>
    </row>
    <row r="4" customFormat="false" ht="15" hidden="false" customHeight="false" outlineLevel="0" collapsed="false">
      <c r="A4" s="22" t="s">
        <v>125</v>
      </c>
      <c r="B4" s="26" t="n">
        <v>7.6</v>
      </c>
    </row>
    <row r="5" customFormat="false" ht="15" hidden="false" customHeight="false" outlineLevel="0" collapsed="false">
      <c r="A5" s="22" t="s">
        <v>126</v>
      </c>
      <c r="B5" s="27" t="n">
        <v>0.05</v>
      </c>
    </row>
    <row r="7" customFormat="false" ht="31.5" hidden="false" customHeight="true" outlineLevel="0" collapsed="false">
      <c r="D7" s="6" t="s">
        <v>127</v>
      </c>
      <c r="E7" s="6" t="s">
        <v>31</v>
      </c>
      <c r="F7" s="6" t="s">
        <v>42</v>
      </c>
      <c r="G7" s="6" t="s">
        <v>43</v>
      </c>
      <c r="I7" s="6" t="s">
        <v>20</v>
      </c>
      <c r="J7" s="6" t="s">
        <v>48</v>
      </c>
      <c r="K7" s="6" t="s">
        <v>128</v>
      </c>
      <c r="L7" s="6" t="s">
        <v>129</v>
      </c>
    </row>
    <row r="8" customFormat="false" ht="15" hidden="false" customHeight="false" outlineLevel="0" collapsed="false">
      <c r="D8" s="7" t="s">
        <v>130</v>
      </c>
      <c r="E8" s="7" t="n">
        <v>160</v>
      </c>
      <c r="F8" s="7" t="s">
        <v>131</v>
      </c>
      <c r="G8" s="7" t="s">
        <v>93</v>
      </c>
      <c r="I8" s="7" t="s">
        <v>52</v>
      </c>
      <c r="J8" s="7" t="s">
        <v>132</v>
      </c>
      <c r="K8" s="26" t="n">
        <v>10.6</v>
      </c>
      <c r="L8" s="26" t="n">
        <v>10.6</v>
      </c>
    </row>
    <row r="9" customFormat="false" ht="15" hidden="false" customHeight="false" outlineLevel="0" collapsed="false">
      <c r="D9" s="7" t="s">
        <v>60</v>
      </c>
      <c r="E9" s="7" t="n">
        <v>160</v>
      </c>
      <c r="F9" s="7" t="s">
        <v>131</v>
      </c>
      <c r="G9" s="7" t="s">
        <v>93</v>
      </c>
      <c r="I9" s="7" t="s">
        <v>63</v>
      </c>
      <c r="J9" s="7" t="s">
        <v>133</v>
      </c>
      <c r="K9" s="26" t="n">
        <v>10.6</v>
      </c>
      <c r="L9" s="26" t="n">
        <v>10.6</v>
      </c>
    </row>
    <row r="10" customFormat="false" ht="15" hidden="false" customHeight="false" outlineLevel="0" collapsed="false">
      <c r="D10" s="7" t="s">
        <v>64</v>
      </c>
      <c r="E10" s="7" t="n">
        <v>160</v>
      </c>
      <c r="F10" s="7" t="s">
        <v>131</v>
      </c>
      <c r="G10" s="7" t="s">
        <v>93</v>
      </c>
      <c r="I10" s="7" t="s">
        <v>70</v>
      </c>
      <c r="J10" s="7" t="s">
        <v>134</v>
      </c>
      <c r="K10" s="26" t="n">
        <v>10.6</v>
      </c>
      <c r="L10" s="26" t="n">
        <v>10.6</v>
      </c>
    </row>
    <row r="11" customFormat="false" ht="15" hidden="false" customHeight="false" outlineLevel="0" collapsed="false">
      <c r="D11" s="7" t="s">
        <v>135</v>
      </c>
      <c r="E11" s="7" t="n">
        <v>160</v>
      </c>
      <c r="F11" s="7" t="s">
        <v>131</v>
      </c>
      <c r="G11" s="7" t="s">
        <v>93</v>
      </c>
      <c r="I11" s="7" t="s">
        <v>76</v>
      </c>
      <c r="J11" s="7" t="s">
        <v>136</v>
      </c>
      <c r="K11" s="26" t="n">
        <v>10.6</v>
      </c>
      <c r="L11" s="26" t="n">
        <v>10.6</v>
      </c>
    </row>
    <row r="12" customFormat="false" ht="15" hidden="false" customHeight="false" outlineLevel="0" collapsed="false">
      <c r="D12" s="7" t="s">
        <v>137</v>
      </c>
      <c r="E12" s="7" t="n">
        <v>160</v>
      </c>
      <c r="F12" s="7" t="s">
        <v>131</v>
      </c>
      <c r="G12" s="7" t="s">
        <v>93</v>
      </c>
      <c r="I12" s="7" t="s">
        <v>81</v>
      </c>
      <c r="J12" s="7" t="s">
        <v>138</v>
      </c>
      <c r="K12" s="26" t="n">
        <v>10.4</v>
      </c>
      <c r="L12" s="26" t="n">
        <v>10.6</v>
      </c>
    </row>
    <row r="13" customFormat="false" ht="15" hidden="false" customHeight="false" outlineLevel="0" collapsed="false">
      <c r="D13" s="7" t="s">
        <v>139</v>
      </c>
      <c r="E13" s="7" t="n">
        <v>160</v>
      </c>
      <c r="F13" s="7" t="s">
        <v>131</v>
      </c>
      <c r="G13" s="7" t="s">
        <v>93</v>
      </c>
    </row>
    <row r="14" customFormat="false" ht="15" hidden="false" customHeight="false" outlineLevel="0" collapsed="false">
      <c r="D14" s="7" t="s">
        <v>53</v>
      </c>
      <c r="E14" s="7" t="n">
        <v>80</v>
      </c>
      <c r="F14" s="7" t="s">
        <v>140</v>
      </c>
      <c r="G14" s="7" t="s">
        <v>93</v>
      </c>
    </row>
    <row r="15" customFormat="false" ht="15" hidden="false" customHeight="false" outlineLevel="0" collapsed="false">
      <c r="D15" s="7" t="s">
        <v>141</v>
      </c>
      <c r="E15" s="7" t="n">
        <v>140</v>
      </c>
      <c r="F15" s="7" t="s">
        <v>142</v>
      </c>
      <c r="G15" s="7" t="s">
        <v>93</v>
      </c>
    </row>
    <row r="16" customFormat="false" ht="15" hidden="false" customHeight="false" outlineLevel="0" collapsed="false">
      <c r="D16" s="7" t="s">
        <v>57</v>
      </c>
      <c r="E16" s="7" t="n">
        <v>55</v>
      </c>
      <c r="F16" s="7" t="s">
        <v>143</v>
      </c>
      <c r="G16" s="7" t="s">
        <v>93</v>
      </c>
    </row>
    <row r="17" customFormat="false" ht="15" hidden="false" customHeight="false" outlineLevel="0" collapsed="false">
      <c r="D17" s="7" t="s">
        <v>144</v>
      </c>
      <c r="E17" s="7" t="n">
        <v>160</v>
      </c>
      <c r="F17" s="7" t="s">
        <v>145</v>
      </c>
      <c r="G17" s="7" t="s">
        <v>93</v>
      </c>
    </row>
    <row r="18" customFormat="false" ht="15" hidden="false" customHeight="false" outlineLevel="0" collapsed="false">
      <c r="D18" s="7" t="s">
        <v>146</v>
      </c>
      <c r="E18" s="7" t="n">
        <v>140</v>
      </c>
      <c r="F18" s="7" t="s">
        <v>145</v>
      </c>
      <c r="G18" s="7" t="s">
        <v>93</v>
      </c>
    </row>
    <row r="19" customFormat="false" ht="15" hidden="false" customHeight="false" outlineLevel="0" collapsed="false">
      <c r="D19" s="7" t="s">
        <v>67</v>
      </c>
      <c r="E19" s="7" t="n">
        <v>160</v>
      </c>
      <c r="F19" s="7" t="s">
        <v>145</v>
      </c>
      <c r="G19" s="7" t="s">
        <v>93</v>
      </c>
    </row>
    <row r="20" customFormat="false" ht="15" hidden="false" customHeight="false" outlineLevel="0" collapsed="false">
      <c r="D20" s="7" t="s">
        <v>147</v>
      </c>
      <c r="E20" s="7" t="n">
        <v>160</v>
      </c>
      <c r="F20" s="7" t="s">
        <v>145</v>
      </c>
      <c r="G20" s="7" t="s">
        <v>93</v>
      </c>
    </row>
    <row r="21" customFormat="false" ht="15" hidden="false" customHeight="false" outlineLevel="0" collapsed="false">
      <c r="D21" s="7" t="s">
        <v>148</v>
      </c>
      <c r="E21" s="7" t="n">
        <v>65</v>
      </c>
      <c r="F21" s="7" t="s">
        <v>149</v>
      </c>
      <c r="G21" s="7" t="s">
        <v>95</v>
      </c>
    </row>
    <row r="22" customFormat="false" ht="15" hidden="false" customHeight="false" outlineLevel="0" collapsed="false">
      <c r="D22" s="7" t="s">
        <v>150</v>
      </c>
      <c r="E22" s="7" t="n">
        <v>80</v>
      </c>
      <c r="F22" s="7" t="s">
        <v>149</v>
      </c>
      <c r="G22" s="7" t="s">
        <v>95</v>
      </c>
    </row>
    <row r="23" customFormat="false" ht="15" hidden="false" customHeight="false" outlineLevel="0" collapsed="false">
      <c r="D23" s="7" t="s">
        <v>71</v>
      </c>
      <c r="E23" s="7" t="n">
        <v>65</v>
      </c>
      <c r="F23" s="7" t="s">
        <v>149</v>
      </c>
      <c r="G23" s="7" t="s">
        <v>95</v>
      </c>
    </row>
    <row r="24" customFormat="false" ht="15" hidden="false" customHeight="false" outlineLevel="0" collapsed="false">
      <c r="D24" s="7" t="s">
        <v>151</v>
      </c>
      <c r="E24" s="7" t="n">
        <v>65</v>
      </c>
      <c r="F24" s="7" t="s">
        <v>149</v>
      </c>
      <c r="G24" s="7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2026-10-14T10:39:44Z</dcterms:created>
  <dc:creator>openpyxl</dc:creator>
  <dc:description/>
  <dc:language>en-US</dc:language>
  <cp:lastModifiedBy/>
  <dcterms:modified xsi:type="dcterms:W3CDTF">2026-10-14T10:39:44Z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